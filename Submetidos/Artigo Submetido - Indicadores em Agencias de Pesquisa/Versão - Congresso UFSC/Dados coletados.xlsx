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ACD4F78817837F4E38DF686B07AD9A220E6ECB43" xr6:coauthVersionLast="47" xr6:coauthVersionMax="47" xr10:uidLastSave="{A63776C6-CAD0-4EDC-879D-EEFF2CBFC010}"/>
  <bookViews>
    <workbookView xWindow="0" yWindow="0" windowWidth="0" windowHeight="0" xr2:uid="{00000000-000D-0000-FFFF-FFFF00000000}"/>
  </bookViews>
  <sheets>
    <sheet name="Dados Geral" sheetId="1" r:id="rId1"/>
    <sheet name="Receitas" sheetId="2" r:id="rId2"/>
    <sheet name="Fundações" sheetId="3" r:id="rId3"/>
    <sheet name="Regiões" sheetId="4" r:id="rId4"/>
    <sheet name="D1" sheetId="5" r:id="rId5"/>
    <sheet name="D2" sheetId="6" r:id="rId6"/>
    <sheet name="D3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ThbjhAaJ4DkatokH7VzmUEZmd1SCLhfzdPIXg9dkBKk="/>
    </ext>
  </extLst>
</workbook>
</file>

<file path=xl/calcChain.xml><?xml version="1.0" encoding="utf-8"?>
<calcChain xmlns="http://schemas.openxmlformats.org/spreadsheetml/2006/main">
  <c r="AF28" i="7" l="1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A31" i="3"/>
  <c r="A30" i="3"/>
  <c r="C28" i="3"/>
  <c r="A28" i="3"/>
  <c r="C27" i="3"/>
  <c r="A27" i="3"/>
  <c r="C26" i="3"/>
  <c r="A26" i="3"/>
  <c r="C25" i="3"/>
  <c r="A25" i="3"/>
  <c r="C24" i="3"/>
  <c r="A24" i="3"/>
  <c r="C23" i="3"/>
  <c r="A23" i="3"/>
  <c r="C22" i="3"/>
  <c r="A22" i="3"/>
  <c r="C21" i="3"/>
  <c r="A21" i="3"/>
  <c r="C20" i="3"/>
  <c r="A20" i="3"/>
  <c r="C19" i="3"/>
  <c r="A19" i="3"/>
  <c r="C18" i="3"/>
  <c r="A18" i="3"/>
  <c r="C17" i="3"/>
  <c r="A17" i="3"/>
  <c r="C16" i="3"/>
  <c r="A16" i="3"/>
  <c r="C15" i="3"/>
  <c r="A15" i="3"/>
  <c r="C14" i="3"/>
  <c r="A14" i="3"/>
  <c r="C13" i="3"/>
  <c r="A13" i="3"/>
  <c r="C12" i="3"/>
  <c r="A12" i="3"/>
  <c r="C11" i="3"/>
  <c r="A11" i="3"/>
  <c r="C10" i="3"/>
  <c r="A10" i="3"/>
  <c r="C9" i="3"/>
  <c r="A9" i="3"/>
  <c r="C8" i="3"/>
  <c r="A8" i="3"/>
  <c r="C7" i="3"/>
  <c r="A7" i="3"/>
  <c r="C6" i="3"/>
  <c r="A6" i="3"/>
  <c r="C5" i="3"/>
  <c r="A5" i="3"/>
  <c r="C4" i="3"/>
  <c r="A4" i="3"/>
  <c r="C3" i="3"/>
  <c r="A3" i="3"/>
  <c r="C2" i="3"/>
  <c r="A2" i="3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CG30" i="1" s="1"/>
  <c r="CG29" i="1"/>
  <c r="B28" i="3" s="1"/>
  <c r="CG28" i="1"/>
  <c r="B27" i="3" s="1"/>
  <c r="CG27" i="1"/>
  <c r="B26" i="3" s="1"/>
  <c r="CG26" i="1"/>
  <c r="B25" i="3" s="1"/>
  <c r="CG25" i="1"/>
  <c r="B24" i="3" s="1"/>
  <c r="CG24" i="1"/>
  <c r="B23" i="3" s="1"/>
  <c r="CG23" i="1"/>
  <c r="B22" i="3" s="1"/>
  <c r="CG22" i="1"/>
  <c r="B21" i="3" s="1"/>
  <c r="CG21" i="1"/>
  <c r="B20" i="3" s="1"/>
  <c r="CG20" i="1"/>
  <c r="B19" i="3" s="1"/>
  <c r="CG19" i="1"/>
  <c r="B18" i="3" s="1"/>
  <c r="CG18" i="1"/>
  <c r="B17" i="3" s="1"/>
  <c r="B6" i="4" s="1"/>
  <c r="CG17" i="1"/>
  <c r="B16" i="3" s="1"/>
  <c r="CG16" i="1"/>
  <c r="B15" i="3" s="1"/>
  <c r="CG15" i="1"/>
  <c r="B14" i="3" s="1"/>
  <c r="CG14" i="1"/>
  <c r="B13" i="3" s="1"/>
  <c r="CG13" i="1"/>
  <c r="B12" i="3" s="1"/>
  <c r="CG12" i="1"/>
  <c r="B11" i="3" s="1"/>
  <c r="CG11" i="1"/>
  <c r="B10" i="3" s="1"/>
  <c r="CG10" i="1"/>
  <c r="B9" i="3" s="1"/>
  <c r="B5" i="4" s="1"/>
  <c r="CG9" i="1"/>
  <c r="B8" i="3" s="1"/>
  <c r="B4" i="4" s="1"/>
  <c r="CG8" i="1"/>
  <c r="B7" i="3" s="1"/>
  <c r="CG7" i="1"/>
  <c r="B6" i="3" s="1"/>
  <c r="CG6" i="1"/>
  <c r="B5" i="3" s="1"/>
  <c r="CG5" i="1"/>
  <c r="B4" i="3" s="1"/>
  <c r="CG4" i="1"/>
  <c r="B3" i="3" s="1"/>
  <c r="B3" i="4" s="1"/>
  <c r="CG3" i="1"/>
  <c r="B2" i="3" s="1"/>
  <c r="B2" i="4" s="1"/>
</calcChain>
</file>

<file path=xl/sharedStrings.xml><?xml version="1.0" encoding="utf-8"?>
<sst xmlns="http://schemas.openxmlformats.org/spreadsheetml/2006/main" count="293" uniqueCount="237">
  <si>
    <t>Quest.01</t>
  </si>
  <si>
    <t>Quest.02</t>
  </si>
  <si>
    <t>Quest.03</t>
  </si>
  <si>
    <t>Quest.04</t>
  </si>
  <si>
    <t>Quest.05</t>
  </si>
  <si>
    <t>Quest.06</t>
  </si>
  <si>
    <t>Quest.07</t>
  </si>
  <si>
    <t>Quest.08</t>
  </si>
  <si>
    <t>Quest.09</t>
  </si>
  <si>
    <t>Quest.10</t>
  </si>
  <si>
    <t>Quest.11</t>
  </si>
  <si>
    <t>Quest.12</t>
  </si>
  <si>
    <t>Quest.13</t>
  </si>
  <si>
    <t>Quest.14</t>
  </si>
  <si>
    <t>Quest.15</t>
  </si>
  <si>
    <t>Quest.16</t>
  </si>
  <si>
    <t>Quest.17</t>
  </si>
  <si>
    <t>Quest.18</t>
  </si>
  <si>
    <t>Quest.19</t>
  </si>
  <si>
    <t>Quest.20</t>
  </si>
  <si>
    <t>Quest.21</t>
  </si>
  <si>
    <t>Quest.22</t>
  </si>
  <si>
    <t>Quest.23</t>
  </si>
  <si>
    <t>Quest.24</t>
  </si>
  <si>
    <t>Quest.25</t>
  </si>
  <si>
    <t>Quest.26</t>
  </si>
  <si>
    <t>Quest.27</t>
  </si>
  <si>
    <t>Quest.28</t>
  </si>
  <si>
    <t>Quest.29</t>
  </si>
  <si>
    <t>Quest.30</t>
  </si>
  <si>
    <t>Quest.31</t>
  </si>
  <si>
    <t>Quest.32</t>
  </si>
  <si>
    <t>Quest.33</t>
  </si>
  <si>
    <t>Quest.34</t>
  </si>
  <si>
    <t>Quest.35</t>
  </si>
  <si>
    <t>Quest.36</t>
  </si>
  <si>
    <t>Quest.37</t>
  </si>
  <si>
    <t>Quest.38</t>
  </si>
  <si>
    <t>Quest.39</t>
  </si>
  <si>
    <t>Quest.40</t>
  </si>
  <si>
    <t>Quest.41</t>
  </si>
  <si>
    <t>Quest.42</t>
  </si>
  <si>
    <t>Quest.43</t>
  </si>
  <si>
    <t>Quest.44</t>
  </si>
  <si>
    <t>Quest.45</t>
  </si>
  <si>
    <t>Quest.46</t>
  </si>
  <si>
    <t>Quest.47</t>
  </si>
  <si>
    <t>Quest.48</t>
  </si>
  <si>
    <t>Quest.49</t>
  </si>
  <si>
    <t>Quest.50</t>
  </si>
  <si>
    <t>Quest.51</t>
  </si>
  <si>
    <t>Quest.52</t>
  </si>
  <si>
    <t>Quest.53</t>
  </si>
  <si>
    <t>Quest.54</t>
  </si>
  <si>
    <t>Quest.55</t>
  </si>
  <si>
    <t>Quest.56</t>
  </si>
  <si>
    <t>Quest.57</t>
  </si>
  <si>
    <t>Quest.58</t>
  </si>
  <si>
    <t>Quest.59</t>
  </si>
  <si>
    <t>Quest.60</t>
  </si>
  <si>
    <t>Quest.61</t>
  </si>
  <si>
    <t>Quest.62</t>
  </si>
  <si>
    <t>Quest.63</t>
  </si>
  <si>
    <t>Quest.64</t>
  </si>
  <si>
    <t>Quest.65</t>
  </si>
  <si>
    <t>Quest.66</t>
  </si>
  <si>
    <t>Quest.67</t>
  </si>
  <si>
    <t>Quest.68</t>
  </si>
  <si>
    <t>Quest.69</t>
  </si>
  <si>
    <t>Quest.70</t>
  </si>
  <si>
    <t>Quest.71</t>
  </si>
  <si>
    <t>Quest.72</t>
  </si>
  <si>
    <t>Quest.73</t>
  </si>
  <si>
    <t>Quest.74</t>
  </si>
  <si>
    <t>Quest.75</t>
  </si>
  <si>
    <t>Quest.76</t>
  </si>
  <si>
    <t>Quest.77</t>
  </si>
  <si>
    <t>Quest.78</t>
  </si>
  <si>
    <t>Quest.79</t>
  </si>
  <si>
    <t>Quest.80</t>
  </si>
  <si>
    <t>Quest.81</t>
  </si>
  <si>
    <t>Quest.82</t>
  </si>
  <si>
    <t>Frequencia</t>
  </si>
  <si>
    <t>Sigla</t>
  </si>
  <si>
    <t>FUNDAÇÃO</t>
  </si>
  <si>
    <t>Informa claramente sobre o seu ramo de atividade</t>
  </si>
  <si>
    <t>Indica inequivocamente quem são os beneficiários das suas operações</t>
  </si>
  <si>
    <t>A missão da organização está claramente definida</t>
  </si>
  <si>
    <t>A visão da organização está claramente definida</t>
  </si>
  <si>
    <t>Os valores estão enunciados e a interpretação que a organização faz deles são definidos</t>
  </si>
  <si>
    <t>Informações sobre os interesses que representa (da ciência e tecnologia, de ensino, pesquisa e extensão)</t>
  </si>
  <si>
    <t>Os objetivos da organização são claros, precisos e passíveis de avaliação</t>
  </si>
  <si>
    <t>Descrição dos projetos e programas desenvolvidos.</t>
  </si>
  <si>
    <t>Calendário de eventos</t>
  </si>
  <si>
    <t>Serviço de notícias</t>
  </si>
  <si>
    <t>Fornece informações precisas e quantitativas sobre o ambiente político da organização não governamental de desenvolvimento</t>
  </si>
  <si>
    <t>Informa sobre os processos de qualidade implementados pela organização</t>
  </si>
  <si>
    <t>Informa sobre o total de pessoas contratadas</t>
  </si>
  <si>
    <t>Informa sobre a existência do total de voluntários</t>
  </si>
  <si>
    <t>Informações sobre o regime jurídico e tipo de contratos de trabalho do pessoal</t>
  </si>
  <si>
    <t>Indica a estrutura da organização</t>
  </si>
  <si>
    <t>Informações sobre treinamentos realizados pelo pessoal da organização</t>
  </si>
  <si>
    <t>Recursos educacionais (apresentação de slides, cursos, vídeos,)</t>
  </si>
  <si>
    <t>Informações sobre vínculos com financiadores, associações ou empresas</t>
  </si>
  <si>
    <t>Nomes e histórico sucinto de todos os membros dos conselhos diretivos e de administração</t>
  </si>
  <si>
    <t>Calendário de reuniões</t>
  </si>
  <si>
    <t>Estatutos, regulamentos ou regimes internos de funcionamento</t>
  </si>
  <si>
    <t>Divulga os acordos adotados nas reuniões convocadas</t>
  </si>
  <si>
    <t>Informa sobre os procedimentos de eleição e destituição de membros do conselho de administração curadores</t>
  </si>
  <si>
    <t>Informa sobre a política de remuneração dos componentes do conselho diretivo e de administração</t>
  </si>
  <si>
    <t>Eixo estratégico do orçamento</t>
  </si>
  <si>
    <t>Orçamento distribuído por programas, projetos e convênios</t>
  </si>
  <si>
    <t>Despesas orçamentárias por classe</t>
  </si>
  <si>
    <t>Oferece resumos de dados financeiros</t>
  </si>
  <si>
    <t>Slides e gráficos são incluídos como suporte à apresentação dos dados financeiros</t>
  </si>
  <si>
    <t>Relatório anual (2022) -  (gestão, atividades, planejamento estratégico e prestação de contas TCU)</t>
  </si>
  <si>
    <t>Relatórios anuais de anos anteriores (mínimo 2 anos) 2021, 2020</t>
  </si>
  <si>
    <t>Balanço patrimonial do exercício atual</t>
  </si>
  <si>
    <t>Balanço patrimonial dos anos anteriores (mínimo 2 anos)</t>
  </si>
  <si>
    <t>Demonstração do resultado do exercício atual</t>
  </si>
  <si>
    <t>Demonstração do resultado dos anos anteriores (mínimo 2 anos)</t>
  </si>
  <si>
    <t>Demonstração das Mutações do Patrimônio Líquido do exercício atual</t>
  </si>
  <si>
    <t>Demonstração das Mutações do Patrimônio Líquido dos anos anteriores (mínimo 2 anos)</t>
  </si>
  <si>
    <t>Notas explicativas do exercício atual</t>
  </si>
  <si>
    <t>Notas explicativas dos anos anteriores (mínimo 2 anos)</t>
  </si>
  <si>
    <t>Demonstrativo de receitas e despesas</t>
  </si>
  <si>
    <t>Demonstrativo de receitas e despesas de exercícios anteriores (mínimo 2 anos)</t>
  </si>
  <si>
    <t>Origem e destinação dos recursos por projeto/programa e atividade</t>
  </si>
  <si>
    <t>Rácio entre os custos de captação dos recursos e os custos totais da organização</t>
  </si>
  <si>
    <t>Rácio entre os custos fixos e os custos totais da organização</t>
  </si>
  <si>
    <t>Relatório de auditoria</t>
  </si>
  <si>
    <t>Relatório de auditoria de anos anteriores (mínimo de 2 anos)</t>
  </si>
  <si>
    <t>Apresenta as normas contábeis utilizadas</t>
  </si>
  <si>
    <t>Relatório de avaliação dos projetos e programas, com comparativo entre metas propostas e resultados alcançados</t>
  </si>
  <si>
    <t>Identificação dos principais fornecedores e coorganizadores das atividades</t>
  </si>
  <si>
    <t>Cópia dos contratos, termos e convênios firmados</t>
  </si>
  <si>
    <t>Há uma área específica para governança e informações financeiras</t>
  </si>
  <si>
    <t>Há uma área específica para informações gerais</t>
  </si>
  <si>
    <t>Há links para outros sites relacionados</t>
  </si>
  <si>
    <t>Um endereço de e-mail para contato é fornecido</t>
  </si>
  <si>
    <t>O conteúdo é apresentado em um maneira estruturada e alinhada e pode ser acessado rápida e diretamente</t>
  </si>
  <si>
    <t>Os títulos são claros e significativos e a linguagem utilizada é adaptada aos cidadãos</t>
  </si>
  <si>
    <t>Divulgação de fotografias das atividades desenvolvidas pela organização</t>
  </si>
  <si>
    <t>Divulgação de vídeos das atividades realizadas pela organização</t>
  </si>
  <si>
    <t>Existe um correio postal endereço, número de telefone e fax, etc. da pessoa de contato</t>
  </si>
  <si>
    <t>Existe um sistema de busca</t>
  </si>
  <si>
    <t>Existe um sistema de busca avançada</t>
  </si>
  <si>
    <t>Um mapa do site da Web está incluído</t>
  </si>
  <si>
    <t>Existe um menu de ajuda</t>
  </si>
  <si>
    <t>Há informações em outros idiomas (pelo menos em inglês)</t>
  </si>
  <si>
    <t>É permitido o download de arquivos em formato de planilha</t>
  </si>
  <si>
    <t>Existe um sistema de hiperlinks que relaciona diferentes áreas do site</t>
  </si>
  <si>
    <t>São utilizados formatos que permitem a impressão correta da informação</t>
  </si>
  <si>
    <t>A velocidade de resposta ao navegar no site que não impeça a efetiva qualidade da consulta</t>
  </si>
  <si>
    <t>Existe uma área para perguntas frequentes</t>
  </si>
  <si>
    <t>Estabelece normas de acessibilidade para pessoas com deficiência</t>
  </si>
  <si>
    <t>Indica a data da última atualização</t>
  </si>
  <si>
    <t>Pode-se ser notificado por e-mail quando atualizações são feitas</t>
  </si>
  <si>
    <t>Indica quando as informações são criadas por terceiro</t>
  </si>
  <si>
    <t>O site possui um espaço de uso exclusivo para facilitar a administração de pessoal e de atividades</t>
  </si>
  <si>
    <t>Publicam- se ofertas de trabalho ou editais de contratação para pessoal remunerado</t>
  </si>
  <si>
    <t>Doações online podem ser feitas</t>
  </si>
  <si>
    <t>São oferecidas parcerias ou adesões</t>
  </si>
  <si>
    <t>São publicados boletins periódicos de informações sobre as atividades da organização</t>
  </si>
  <si>
    <t>Existem fóruns abertos para envio de sugestões, críticas ou comentários sobre o trabalho desenvolvido pela organização</t>
  </si>
  <si>
    <t>Os usuários têm a oportunidade de receber atualizações regulares por meio eletrônico</t>
  </si>
  <si>
    <t>Os parceiros têm um espaço de acesso exclusivo que lhes permite realizar atividades administrativas: obter certificados de doações, atualizar seus dados, fazer contribuições, etc.</t>
  </si>
  <si>
    <t>AC</t>
  </si>
  <si>
    <t>FAPAC</t>
  </si>
  <si>
    <t>AL</t>
  </si>
  <si>
    <t>PAFEAL</t>
  </si>
  <si>
    <t>AP</t>
  </si>
  <si>
    <t>FAPEAP</t>
  </si>
  <si>
    <t>AM</t>
  </si>
  <si>
    <t>FAPEAM</t>
  </si>
  <si>
    <t>BA</t>
  </si>
  <si>
    <t>FAPESB</t>
  </si>
  <si>
    <t>CE</t>
  </si>
  <si>
    <t>FUNCAP</t>
  </si>
  <si>
    <t>DF</t>
  </si>
  <si>
    <t>FAPDF</t>
  </si>
  <si>
    <t>ES</t>
  </si>
  <si>
    <t>FAPES</t>
  </si>
  <si>
    <t>GO</t>
  </si>
  <si>
    <t>FAPEG</t>
  </si>
  <si>
    <t>MA</t>
  </si>
  <si>
    <t>FAPEMA</t>
  </si>
  <si>
    <t>MT</t>
  </si>
  <si>
    <t>FAPEMAT</t>
  </si>
  <si>
    <t>MS</t>
  </si>
  <si>
    <t>FUNDECT</t>
  </si>
  <si>
    <t>MG</t>
  </si>
  <si>
    <t>FAPEMIG</t>
  </si>
  <si>
    <t>PA</t>
  </si>
  <si>
    <t>FAPESPA</t>
  </si>
  <si>
    <t>PB</t>
  </si>
  <si>
    <t>FAPESQ</t>
  </si>
  <si>
    <t>PR</t>
  </si>
  <si>
    <t>FA</t>
  </si>
  <si>
    <t>PE</t>
  </si>
  <si>
    <t>FACEPE</t>
  </si>
  <si>
    <t>PI</t>
  </si>
  <si>
    <t>FAPEPI</t>
  </si>
  <si>
    <t>RJ</t>
  </si>
  <si>
    <t>FAPERJ</t>
  </si>
  <si>
    <t>RN</t>
  </si>
  <si>
    <t>FAPERN</t>
  </si>
  <si>
    <t>RS</t>
  </si>
  <si>
    <t>FAPERGS</t>
  </si>
  <si>
    <t>RO</t>
  </si>
  <si>
    <t>FAPERO</t>
  </si>
  <si>
    <t>RR</t>
  </si>
  <si>
    <t>FAPERR</t>
  </si>
  <si>
    <t>SC</t>
  </si>
  <si>
    <t>FAPESC</t>
  </si>
  <si>
    <t>SP</t>
  </si>
  <si>
    <t>FAPESP</t>
  </si>
  <si>
    <t>SE</t>
  </si>
  <si>
    <t>FAPITEC</t>
  </si>
  <si>
    <t>TO</t>
  </si>
  <si>
    <t>FAPT</t>
  </si>
  <si>
    <t>Fundação</t>
  </si>
  <si>
    <t>Transferências Públicas (milhões R$)</t>
  </si>
  <si>
    <t>Transferências Internacionais (milhões R$)</t>
  </si>
  <si>
    <t>Receitas Próprias (milhões R$)</t>
  </si>
  <si>
    <t>Receitas de Pessoas Físicas e Jurídicas (milhões R$)</t>
  </si>
  <si>
    <t>Outras Receitas (milhões R$)</t>
  </si>
  <si>
    <t>Índice Geral de Tranparência</t>
  </si>
  <si>
    <t>Estado</t>
  </si>
  <si>
    <t>Região</t>
  </si>
  <si>
    <t>Norte</t>
  </si>
  <si>
    <t>Nordeste</t>
  </si>
  <si>
    <t>Centro Oeste</t>
  </si>
  <si>
    <t>Sudeste</t>
  </si>
  <si>
    <t>Sul</t>
  </si>
  <si>
    <t>REGIÃO</t>
  </si>
  <si>
    <t>INDICE GERAL DE DIVULGAÇÃO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</si>
</sst>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2"/>
      <color theme="1"/>
      <name val="&quot;Times New Roman&quot;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/>
    <xf numFmtId="0" fontId="3" fillId="0" borderId="0" xfId="0" applyFont="1" applyAlignment="1">
      <alignment horizontal="right"/>
    </xf>
    <xf numFmtId="2" fontId="4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3" fontId="8" fillId="0" borderId="1" xfId="0" applyNumberFormat="1" applyFont="1" applyBorder="1" applyAlignment="1">
      <alignment horizontal="left" wrapText="1"/>
    </xf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0"/>
  <sheetViews>
    <sheetView tabSelected="1" workbookViewId="0"/>
  </sheetViews>
  <sheetFormatPr defaultColWidth="14.42578125" defaultRowHeight="15" customHeight="1"/>
  <cols>
    <col min="1" max="2" width="20.5703125" customWidth="1"/>
    <col min="3" max="84" width="9.5703125" style="12" customWidth="1"/>
    <col min="85" max="85" width="9.5703125" customWidth="1"/>
  </cols>
  <sheetData>
    <row r="1" spans="1:8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3" t="s">
        <v>82</v>
      </c>
    </row>
    <row r="2" spans="1:85">
      <c r="A2" s="4" t="s">
        <v>83</v>
      </c>
      <c r="B2" s="1" t="s">
        <v>84</v>
      </c>
      <c r="C2" s="5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  <c r="O2" s="3" t="s">
        <v>97</v>
      </c>
      <c r="P2" s="3" t="s">
        <v>98</v>
      </c>
      <c r="Q2" s="3" t="s">
        <v>99</v>
      </c>
      <c r="R2" s="3" t="s">
        <v>100</v>
      </c>
      <c r="S2" s="3" t="s">
        <v>101</v>
      </c>
      <c r="T2" s="3" t="s">
        <v>102</v>
      </c>
      <c r="U2" s="3" t="s">
        <v>103</v>
      </c>
      <c r="V2" s="3" t="s">
        <v>104</v>
      </c>
      <c r="W2" s="3" t="s">
        <v>105</v>
      </c>
      <c r="X2" s="3" t="s">
        <v>106</v>
      </c>
      <c r="Y2" s="3" t="s">
        <v>107</v>
      </c>
      <c r="Z2" s="3" t="s">
        <v>108</v>
      </c>
      <c r="AA2" s="3" t="s">
        <v>109</v>
      </c>
      <c r="AB2" s="3" t="s">
        <v>110</v>
      </c>
      <c r="AC2" s="3" t="s">
        <v>111</v>
      </c>
      <c r="AD2" s="3" t="s">
        <v>112</v>
      </c>
      <c r="AE2" s="3" t="s">
        <v>113</v>
      </c>
      <c r="AF2" s="3" t="s">
        <v>114</v>
      </c>
      <c r="AG2" s="3" t="s">
        <v>115</v>
      </c>
      <c r="AH2" s="3" t="s">
        <v>116</v>
      </c>
      <c r="AI2" s="3" t="s">
        <v>117</v>
      </c>
      <c r="AJ2" s="3" t="s">
        <v>118</v>
      </c>
      <c r="AK2" s="3" t="s">
        <v>119</v>
      </c>
      <c r="AL2" s="3" t="s">
        <v>120</v>
      </c>
      <c r="AM2" s="3" t="s">
        <v>121</v>
      </c>
      <c r="AN2" s="3" t="s">
        <v>122</v>
      </c>
      <c r="AO2" s="3" t="s">
        <v>123</v>
      </c>
      <c r="AP2" s="3" t="s">
        <v>124</v>
      </c>
      <c r="AQ2" s="3" t="s">
        <v>125</v>
      </c>
      <c r="AR2" s="3" t="s">
        <v>126</v>
      </c>
      <c r="AS2" s="3" t="s">
        <v>127</v>
      </c>
      <c r="AT2" s="3" t="s">
        <v>128</v>
      </c>
      <c r="AU2" s="3" t="s">
        <v>129</v>
      </c>
      <c r="AV2" s="3" t="s">
        <v>130</v>
      </c>
      <c r="AW2" s="3" t="s">
        <v>131</v>
      </c>
      <c r="AX2" s="3" t="s">
        <v>132</v>
      </c>
      <c r="AY2" s="3" t="s">
        <v>133</v>
      </c>
      <c r="AZ2" s="3" t="s">
        <v>134</v>
      </c>
      <c r="BA2" s="3" t="s">
        <v>135</v>
      </c>
      <c r="BB2" s="3" t="s">
        <v>136</v>
      </c>
      <c r="BC2" s="3" t="s">
        <v>137</v>
      </c>
      <c r="BD2" s="3" t="s">
        <v>138</v>
      </c>
      <c r="BE2" s="3" t="s">
        <v>139</v>
      </c>
      <c r="BF2" s="3" t="s">
        <v>140</v>
      </c>
      <c r="BG2" s="3" t="s">
        <v>141</v>
      </c>
      <c r="BH2" s="3" t="s">
        <v>142</v>
      </c>
      <c r="BI2" s="3" t="s">
        <v>143</v>
      </c>
      <c r="BJ2" s="3" t="s">
        <v>144</v>
      </c>
      <c r="BK2" s="3" t="s">
        <v>145</v>
      </c>
      <c r="BL2" s="3" t="s">
        <v>146</v>
      </c>
      <c r="BM2" s="3" t="s">
        <v>147</v>
      </c>
      <c r="BN2" s="3" t="s">
        <v>148</v>
      </c>
      <c r="BO2" s="3" t="s">
        <v>149</v>
      </c>
      <c r="BP2" s="3" t="s">
        <v>150</v>
      </c>
      <c r="BQ2" s="3" t="s">
        <v>151</v>
      </c>
      <c r="BR2" s="3" t="s">
        <v>152</v>
      </c>
      <c r="BS2" s="3" t="s">
        <v>153</v>
      </c>
      <c r="BT2" s="3" t="s">
        <v>154</v>
      </c>
      <c r="BU2" s="3" t="s">
        <v>155</v>
      </c>
      <c r="BV2" s="3" t="s">
        <v>156</v>
      </c>
      <c r="BW2" s="3" t="s">
        <v>157</v>
      </c>
      <c r="BX2" s="3" t="s">
        <v>158</v>
      </c>
      <c r="BY2" s="3" t="s">
        <v>159</v>
      </c>
      <c r="BZ2" s="3" t="s">
        <v>160</v>
      </c>
      <c r="CA2" s="3" t="s">
        <v>161</v>
      </c>
      <c r="CB2" s="3" t="s">
        <v>162</v>
      </c>
      <c r="CC2" s="3" t="s">
        <v>163</v>
      </c>
      <c r="CD2" s="3" t="s">
        <v>164</v>
      </c>
      <c r="CE2" s="3" t="s">
        <v>165</v>
      </c>
      <c r="CF2" s="3" t="s">
        <v>166</v>
      </c>
      <c r="CG2" s="3"/>
    </row>
    <row r="3" spans="1:85">
      <c r="A3" s="6" t="s">
        <v>167</v>
      </c>
      <c r="B3" s="7" t="s">
        <v>168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1</v>
      </c>
      <c r="R3" s="8">
        <v>0</v>
      </c>
      <c r="S3" s="8">
        <v>0</v>
      </c>
      <c r="T3" s="8">
        <v>1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1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1</v>
      </c>
      <c r="AK3" s="8">
        <v>0</v>
      </c>
      <c r="AL3" s="8">
        <v>0</v>
      </c>
      <c r="AM3" s="8">
        <v>1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1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1</v>
      </c>
      <c r="BD3" s="8">
        <v>0</v>
      </c>
      <c r="BE3" s="8">
        <v>0</v>
      </c>
      <c r="BF3" s="8">
        <v>1</v>
      </c>
      <c r="BG3" s="8">
        <v>0</v>
      </c>
      <c r="BH3" s="8">
        <v>0</v>
      </c>
      <c r="BI3" s="8">
        <v>0</v>
      </c>
      <c r="BJ3" s="8">
        <v>0</v>
      </c>
      <c r="BK3" s="8">
        <v>1</v>
      </c>
      <c r="BL3" s="8">
        <v>0</v>
      </c>
      <c r="BM3" s="8">
        <v>1</v>
      </c>
      <c r="BN3" s="8">
        <v>0</v>
      </c>
      <c r="BO3" s="8">
        <v>1</v>
      </c>
      <c r="BP3" s="8">
        <v>1</v>
      </c>
      <c r="BQ3" s="8">
        <v>0</v>
      </c>
      <c r="BR3" s="8">
        <v>0</v>
      </c>
      <c r="BS3" s="8">
        <v>1</v>
      </c>
      <c r="BT3" s="8">
        <v>0</v>
      </c>
      <c r="BU3" s="8">
        <v>1</v>
      </c>
      <c r="BV3" s="8">
        <v>0</v>
      </c>
      <c r="BW3" s="8">
        <v>1</v>
      </c>
      <c r="BX3" s="8">
        <v>1</v>
      </c>
      <c r="BY3" s="8">
        <v>0</v>
      </c>
      <c r="BZ3" s="8">
        <v>0</v>
      </c>
      <c r="CA3" s="8">
        <v>1</v>
      </c>
      <c r="CB3" s="8">
        <v>0</v>
      </c>
      <c r="CC3" s="8">
        <v>0</v>
      </c>
      <c r="CD3" s="8">
        <v>0</v>
      </c>
      <c r="CE3" s="8">
        <v>1</v>
      </c>
      <c r="CF3" s="8">
        <v>0</v>
      </c>
      <c r="CG3" s="9">
        <f t="shared" ref="CG3:CG30" si="0">SUM(C3:CF3)/82</f>
        <v>0.23170731707317074</v>
      </c>
    </row>
    <row r="4" spans="1:85">
      <c r="A4" s="6" t="s">
        <v>169</v>
      </c>
      <c r="B4" s="7" t="s">
        <v>170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0</v>
      </c>
      <c r="I4" s="8">
        <v>1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1</v>
      </c>
      <c r="R4" s="8">
        <v>1</v>
      </c>
      <c r="S4" s="8">
        <v>0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0</v>
      </c>
      <c r="AB4" s="8">
        <v>1</v>
      </c>
      <c r="AC4" s="8">
        <v>1</v>
      </c>
      <c r="AD4" s="8">
        <v>0</v>
      </c>
      <c r="AE4" s="8">
        <v>1</v>
      </c>
      <c r="AF4" s="8">
        <v>1</v>
      </c>
      <c r="AG4" s="8">
        <v>1</v>
      </c>
      <c r="AH4" s="8">
        <v>1</v>
      </c>
      <c r="AI4" s="8">
        <v>0</v>
      </c>
      <c r="AJ4" s="8">
        <v>1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0</v>
      </c>
      <c r="AU4" s="8">
        <v>1</v>
      </c>
      <c r="AV4" s="8">
        <v>1</v>
      </c>
      <c r="AW4" s="8">
        <v>0</v>
      </c>
      <c r="AX4" s="8">
        <v>1</v>
      </c>
      <c r="AY4" s="8">
        <v>1</v>
      </c>
      <c r="AZ4" s="8">
        <v>1</v>
      </c>
      <c r="BA4" s="8">
        <v>1</v>
      </c>
      <c r="BB4" s="8">
        <v>0</v>
      </c>
      <c r="BC4" s="8">
        <v>1</v>
      </c>
      <c r="BD4" s="8">
        <v>1</v>
      </c>
      <c r="BE4" s="8">
        <v>0</v>
      </c>
      <c r="BF4" s="8">
        <v>1</v>
      </c>
      <c r="BG4" s="8">
        <v>1</v>
      </c>
      <c r="BH4" s="8">
        <v>0</v>
      </c>
      <c r="BI4" s="8">
        <v>1</v>
      </c>
      <c r="BJ4" s="8">
        <v>0</v>
      </c>
      <c r="BK4" s="8">
        <v>1</v>
      </c>
      <c r="BL4" s="8">
        <v>0</v>
      </c>
      <c r="BM4" s="8">
        <v>1</v>
      </c>
      <c r="BN4" s="8">
        <v>1</v>
      </c>
      <c r="BO4" s="8">
        <v>0</v>
      </c>
      <c r="BP4" s="8">
        <v>1</v>
      </c>
      <c r="BQ4" s="8">
        <v>0</v>
      </c>
      <c r="BR4" s="8">
        <v>0</v>
      </c>
      <c r="BS4" s="8">
        <v>1</v>
      </c>
      <c r="BT4" s="8">
        <v>0</v>
      </c>
      <c r="BU4" s="8">
        <v>1</v>
      </c>
      <c r="BV4" s="8">
        <v>1</v>
      </c>
      <c r="BW4" s="8">
        <v>0</v>
      </c>
      <c r="BX4" s="8">
        <v>1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1</v>
      </c>
      <c r="CG4" s="9">
        <f t="shared" si="0"/>
        <v>0.67073170731707321</v>
      </c>
    </row>
    <row r="5" spans="1:85">
      <c r="A5" s="6" t="s">
        <v>171</v>
      </c>
      <c r="B5" s="7" t="s">
        <v>172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8">
        <v>0</v>
      </c>
      <c r="M5" s="8">
        <v>1</v>
      </c>
      <c r="N5" s="8">
        <v>1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1</v>
      </c>
      <c r="AD5" s="8">
        <v>1</v>
      </c>
      <c r="AE5" s="8">
        <v>0</v>
      </c>
      <c r="AF5" s="8">
        <v>1</v>
      </c>
      <c r="AG5" s="8">
        <v>1</v>
      </c>
      <c r="AH5" s="8">
        <v>1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1</v>
      </c>
      <c r="AW5" s="8">
        <v>1</v>
      </c>
      <c r="AX5" s="8">
        <v>0</v>
      </c>
      <c r="AY5" s="8">
        <v>1</v>
      </c>
      <c r="AZ5" s="8">
        <v>1</v>
      </c>
      <c r="BA5" s="8">
        <v>1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1</v>
      </c>
      <c r="BI5" s="8">
        <v>0</v>
      </c>
      <c r="BJ5" s="8">
        <v>0</v>
      </c>
      <c r="BK5" s="8">
        <v>1</v>
      </c>
      <c r="BL5" s="8">
        <v>1</v>
      </c>
      <c r="BM5" s="8">
        <v>0</v>
      </c>
      <c r="BN5" s="8">
        <v>0</v>
      </c>
      <c r="BO5" s="8">
        <v>1</v>
      </c>
      <c r="BP5" s="8">
        <v>1</v>
      </c>
      <c r="BQ5" s="8">
        <v>1</v>
      </c>
      <c r="BR5" s="8">
        <v>0</v>
      </c>
      <c r="BS5" s="8">
        <v>1</v>
      </c>
      <c r="BT5" s="8">
        <v>1</v>
      </c>
      <c r="BU5" s="8">
        <v>0</v>
      </c>
      <c r="BV5" s="8">
        <v>0</v>
      </c>
      <c r="BW5" s="8">
        <v>1</v>
      </c>
      <c r="BX5" s="8">
        <v>1</v>
      </c>
      <c r="BY5" s="8">
        <v>1</v>
      </c>
      <c r="BZ5" s="8">
        <v>1</v>
      </c>
      <c r="CA5" s="8">
        <v>0</v>
      </c>
      <c r="CB5" s="8">
        <v>1</v>
      </c>
      <c r="CC5" s="8">
        <v>0</v>
      </c>
      <c r="CD5" s="8">
        <v>1</v>
      </c>
      <c r="CE5" s="8">
        <v>0</v>
      </c>
      <c r="CF5" s="8">
        <v>0</v>
      </c>
      <c r="CG5" s="9">
        <f t="shared" si="0"/>
        <v>0.35365853658536583</v>
      </c>
    </row>
    <row r="6" spans="1:85">
      <c r="A6" s="6" t="s">
        <v>173</v>
      </c>
      <c r="B6" s="7" t="s">
        <v>174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1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1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1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</v>
      </c>
      <c r="BI6" s="8">
        <v>1</v>
      </c>
      <c r="BJ6" s="8">
        <v>1</v>
      </c>
      <c r="BK6" s="8">
        <v>0</v>
      </c>
      <c r="BL6" s="8">
        <v>0</v>
      </c>
      <c r="BM6" s="8">
        <v>1</v>
      </c>
      <c r="BN6" s="8">
        <v>1</v>
      </c>
      <c r="BO6" s="8">
        <v>1</v>
      </c>
      <c r="BP6" s="8">
        <v>1</v>
      </c>
      <c r="BQ6" s="8">
        <v>1</v>
      </c>
      <c r="BR6" s="8">
        <v>1</v>
      </c>
      <c r="BS6" s="8">
        <v>0</v>
      </c>
      <c r="BT6" s="8">
        <v>0</v>
      </c>
      <c r="BU6" s="8">
        <v>1</v>
      </c>
      <c r="BV6" s="8">
        <v>1</v>
      </c>
      <c r="BW6" s="8">
        <v>1</v>
      </c>
      <c r="BX6" s="8">
        <v>1</v>
      </c>
      <c r="BY6" s="8">
        <v>1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1</v>
      </c>
      <c r="CF6" s="8">
        <v>0</v>
      </c>
      <c r="CG6" s="9">
        <f t="shared" si="0"/>
        <v>0.25609756097560976</v>
      </c>
    </row>
    <row r="7" spans="1:85">
      <c r="A7" s="6" t="s">
        <v>175</v>
      </c>
      <c r="B7" s="7" t="s">
        <v>176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0</v>
      </c>
      <c r="I7" s="8">
        <v>1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1</v>
      </c>
      <c r="S7" s="8">
        <v>1</v>
      </c>
      <c r="T7" s="8">
        <v>0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0</v>
      </c>
      <c r="AB7" s="8">
        <v>1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1</v>
      </c>
      <c r="AK7" s="8">
        <v>1</v>
      </c>
      <c r="AL7" s="8">
        <v>1</v>
      </c>
      <c r="AM7" s="8">
        <v>0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0</v>
      </c>
      <c r="AU7" s="8">
        <v>1</v>
      </c>
      <c r="AV7" s="8">
        <v>0</v>
      </c>
      <c r="AW7" s="8">
        <v>0</v>
      </c>
      <c r="AX7" s="8">
        <v>1</v>
      </c>
      <c r="AY7" s="8">
        <v>0</v>
      </c>
      <c r="AZ7" s="8">
        <v>0</v>
      </c>
      <c r="BA7" s="8">
        <v>0</v>
      </c>
      <c r="BB7" s="8">
        <v>0</v>
      </c>
      <c r="BC7" s="8">
        <v>1</v>
      </c>
      <c r="BD7" s="8">
        <v>1</v>
      </c>
      <c r="BE7" s="8">
        <v>1</v>
      </c>
      <c r="BF7" s="8">
        <v>0</v>
      </c>
      <c r="BG7" s="8">
        <v>1</v>
      </c>
      <c r="BH7" s="8">
        <v>1</v>
      </c>
      <c r="BI7" s="8">
        <v>1</v>
      </c>
      <c r="BJ7" s="8">
        <v>0</v>
      </c>
      <c r="BK7" s="8">
        <v>0</v>
      </c>
      <c r="BL7" s="8">
        <v>0</v>
      </c>
      <c r="BM7" s="8">
        <v>1</v>
      </c>
      <c r="BN7" s="8">
        <v>0</v>
      </c>
      <c r="BO7" s="8">
        <v>0</v>
      </c>
      <c r="BP7" s="8">
        <v>0</v>
      </c>
      <c r="BQ7" s="8">
        <v>1</v>
      </c>
      <c r="BR7" s="8">
        <v>0</v>
      </c>
      <c r="BS7" s="8">
        <v>0</v>
      </c>
      <c r="BT7" s="8">
        <v>0</v>
      </c>
      <c r="BU7" s="8">
        <v>1</v>
      </c>
      <c r="BV7" s="8">
        <v>0</v>
      </c>
      <c r="BW7" s="8">
        <v>0</v>
      </c>
      <c r="BX7" s="8">
        <v>0</v>
      </c>
      <c r="BY7" s="8">
        <v>1</v>
      </c>
      <c r="BZ7" s="8">
        <v>1</v>
      </c>
      <c r="CA7" s="8">
        <v>1</v>
      </c>
      <c r="CB7" s="8">
        <v>0</v>
      </c>
      <c r="CC7" s="8">
        <v>1</v>
      </c>
      <c r="CD7" s="8">
        <v>1</v>
      </c>
      <c r="CE7" s="8">
        <v>0</v>
      </c>
      <c r="CF7" s="8">
        <v>1</v>
      </c>
      <c r="CG7" s="9">
        <f t="shared" si="0"/>
        <v>0.53658536585365857</v>
      </c>
    </row>
    <row r="8" spans="1:85">
      <c r="A8" s="6" t="s">
        <v>177</v>
      </c>
      <c r="B8" s="7" t="s">
        <v>178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0</v>
      </c>
      <c r="I8" s="8">
        <v>0</v>
      </c>
      <c r="J8" s="8">
        <v>0</v>
      </c>
      <c r="K8" s="8">
        <v>1</v>
      </c>
      <c r="L8" s="8">
        <v>1</v>
      </c>
      <c r="M8" s="8">
        <v>0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0</v>
      </c>
      <c r="AB8" s="8">
        <v>0</v>
      </c>
      <c r="AC8" s="8">
        <v>0</v>
      </c>
      <c r="AD8" s="8">
        <v>1</v>
      </c>
      <c r="AE8" s="8">
        <v>1</v>
      </c>
      <c r="AF8" s="8">
        <v>0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0</v>
      </c>
      <c r="AU8" s="8">
        <v>0</v>
      </c>
      <c r="AV8" s="8">
        <v>0</v>
      </c>
      <c r="AW8" s="8">
        <v>1</v>
      </c>
      <c r="AX8" s="8">
        <v>1</v>
      </c>
      <c r="AY8" s="8">
        <v>0</v>
      </c>
      <c r="AZ8" s="8">
        <v>1</v>
      </c>
      <c r="BA8" s="8">
        <v>1</v>
      </c>
      <c r="BB8" s="8">
        <v>1</v>
      </c>
      <c r="BC8" s="8">
        <v>1</v>
      </c>
      <c r="BD8" s="8">
        <v>1</v>
      </c>
      <c r="BE8" s="8">
        <v>1</v>
      </c>
      <c r="BF8" s="8">
        <v>1</v>
      </c>
      <c r="BG8" s="8">
        <v>1</v>
      </c>
      <c r="BH8" s="8">
        <v>0</v>
      </c>
      <c r="BI8" s="8">
        <v>1</v>
      </c>
      <c r="BJ8" s="8">
        <v>0</v>
      </c>
      <c r="BK8" s="8">
        <v>0</v>
      </c>
      <c r="BL8" s="8">
        <v>1</v>
      </c>
      <c r="BM8" s="8">
        <v>1</v>
      </c>
      <c r="BN8" s="8">
        <v>0</v>
      </c>
      <c r="BO8" s="8">
        <v>1</v>
      </c>
      <c r="BP8" s="8">
        <v>0</v>
      </c>
      <c r="BQ8" s="8">
        <v>0</v>
      </c>
      <c r="BR8" s="8">
        <v>0</v>
      </c>
      <c r="BS8" s="8">
        <v>0</v>
      </c>
      <c r="BT8" s="8">
        <v>1</v>
      </c>
      <c r="BU8" s="8">
        <v>1</v>
      </c>
      <c r="BV8" s="8">
        <v>0</v>
      </c>
      <c r="BW8" s="8">
        <v>1</v>
      </c>
      <c r="BX8" s="8">
        <v>0</v>
      </c>
      <c r="BY8" s="8">
        <v>0</v>
      </c>
      <c r="BZ8" s="8">
        <v>1</v>
      </c>
      <c r="CA8" s="8">
        <v>1</v>
      </c>
      <c r="CB8" s="8">
        <v>0</v>
      </c>
      <c r="CC8" s="8">
        <v>0</v>
      </c>
      <c r="CD8" s="8">
        <v>1</v>
      </c>
      <c r="CE8" s="8">
        <v>0</v>
      </c>
      <c r="CF8" s="8">
        <v>0</v>
      </c>
      <c r="CG8" s="9">
        <f t="shared" si="0"/>
        <v>0.67073170731707321</v>
      </c>
    </row>
    <row r="9" spans="1:85">
      <c r="A9" s="6" t="s">
        <v>179</v>
      </c>
      <c r="B9" s="7" t="s">
        <v>180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0</v>
      </c>
      <c r="N9" s="8">
        <v>1</v>
      </c>
      <c r="O9" s="8">
        <v>1</v>
      </c>
      <c r="P9" s="8">
        <v>1</v>
      </c>
      <c r="Q9" s="8">
        <v>0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0</v>
      </c>
      <c r="AB9" s="8">
        <v>1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1</v>
      </c>
      <c r="AI9" s="8">
        <v>1</v>
      </c>
      <c r="AJ9" s="8">
        <v>0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0</v>
      </c>
      <c r="AU9" s="8">
        <v>1</v>
      </c>
      <c r="AV9" s="8">
        <v>0</v>
      </c>
      <c r="AW9" s="8">
        <v>0</v>
      </c>
      <c r="AX9" s="8">
        <v>1</v>
      </c>
      <c r="AY9" s="8">
        <v>0</v>
      </c>
      <c r="AZ9" s="8">
        <v>0</v>
      </c>
      <c r="BA9" s="8">
        <v>1</v>
      </c>
      <c r="BB9" s="8">
        <v>1</v>
      </c>
      <c r="BC9" s="8">
        <v>0</v>
      </c>
      <c r="BD9" s="8">
        <v>1</v>
      </c>
      <c r="BE9" s="8">
        <v>1</v>
      </c>
      <c r="BF9" s="8">
        <v>1</v>
      </c>
      <c r="BG9" s="8">
        <v>1</v>
      </c>
      <c r="BH9" s="8">
        <v>1</v>
      </c>
      <c r="BI9" s="8">
        <v>1</v>
      </c>
      <c r="BJ9" s="8">
        <v>1</v>
      </c>
      <c r="BK9" s="8">
        <v>1</v>
      </c>
      <c r="BL9" s="8">
        <v>1</v>
      </c>
      <c r="BM9" s="8">
        <v>1</v>
      </c>
      <c r="BN9" s="8">
        <v>1</v>
      </c>
      <c r="BO9" s="8">
        <v>1</v>
      </c>
      <c r="BP9" s="8">
        <v>0</v>
      </c>
      <c r="BQ9" s="8">
        <v>1</v>
      </c>
      <c r="BR9" s="8">
        <v>1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0</v>
      </c>
      <c r="BY9" s="8">
        <v>1</v>
      </c>
      <c r="BZ9" s="8">
        <v>1</v>
      </c>
      <c r="CA9" s="8">
        <v>0</v>
      </c>
      <c r="CB9" s="8">
        <v>1</v>
      </c>
      <c r="CC9" s="8">
        <v>1</v>
      </c>
      <c r="CD9" s="8">
        <v>0</v>
      </c>
      <c r="CE9" s="8">
        <v>0</v>
      </c>
      <c r="CF9" s="8">
        <v>1</v>
      </c>
      <c r="CG9" s="9">
        <f t="shared" si="0"/>
        <v>0.73170731707317072</v>
      </c>
    </row>
    <row r="10" spans="1:85">
      <c r="A10" s="6" t="s">
        <v>181</v>
      </c>
      <c r="B10" s="7" t="s">
        <v>182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</v>
      </c>
      <c r="O10" s="8">
        <v>0</v>
      </c>
      <c r="P10" s="8">
        <v>0</v>
      </c>
      <c r="Q10" s="8">
        <v>1</v>
      </c>
      <c r="R10" s="8">
        <v>1</v>
      </c>
      <c r="S10" s="8">
        <v>0</v>
      </c>
      <c r="T10" s="8">
        <v>0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0</v>
      </c>
      <c r="AG10" s="8">
        <v>1</v>
      </c>
      <c r="AH10" s="8">
        <v>0</v>
      </c>
      <c r="AI10" s="8">
        <v>0</v>
      </c>
      <c r="AJ10" s="8">
        <v>1</v>
      </c>
      <c r="AK10" s="8">
        <v>1</v>
      </c>
      <c r="AL10" s="8">
        <v>0</v>
      </c>
      <c r="AM10" s="8">
        <v>0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0</v>
      </c>
      <c r="AZ10" s="8">
        <v>1</v>
      </c>
      <c r="BA10" s="8">
        <v>0</v>
      </c>
      <c r="BB10" s="8">
        <v>0</v>
      </c>
      <c r="BC10" s="8">
        <v>1</v>
      </c>
      <c r="BD10" s="8">
        <v>1</v>
      </c>
      <c r="BE10" s="8">
        <v>0</v>
      </c>
      <c r="BF10" s="8">
        <v>0</v>
      </c>
      <c r="BG10" s="8">
        <v>1</v>
      </c>
      <c r="BH10" s="8">
        <v>0</v>
      </c>
      <c r="BI10" s="8">
        <v>1</v>
      </c>
      <c r="BJ10" s="8">
        <v>0</v>
      </c>
      <c r="BK10" s="8">
        <v>1</v>
      </c>
      <c r="BL10" s="8">
        <v>0</v>
      </c>
      <c r="BM10" s="8">
        <v>1</v>
      </c>
      <c r="BN10" s="8">
        <v>0</v>
      </c>
      <c r="BO10" s="8">
        <v>0</v>
      </c>
      <c r="BP10" s="8">
        <v>1</v>
      </c>
      <c r="BQ10" s="8">
        <v>0</v>
      </c>
      <c r="BR10" s="8">
        <v>0</v>
      </c>
      <c r="BS10" s="8">
        <v>1</v>
      </c>
      <c r="BT10" s="8">
        <v>0</v>
      </c>
      <c r="BU10" s="8">
        <v>1</v>
      </c>
      <c r="BV10" s="8">
        <v>0</v>
      </c>
      <c r="BW10" s="8">
        <v>0</v>
      </c>
      <c r="BX10" s="8">
        <v>1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1</v>
      </c>
      <c r="CE10" s="8">
        <v>1</v>
      </c>
      <c r="CF10" s="8">
        <v>1</v>
      </c>
      <c r="CG10" s="9">
        <f t="shared" si="0"/>
        <v>0.54878048780487809</v>
      </c>
    </row>
    <row r="11" spans="1:85">
      <c r="A11" s="6" t="s">
        <v>183</v>
      </c>
      <c r="B11" s="7" t="s">
        <v>184</v>
      </c>
      <c r="C11" s="8">
        <v>1</v>
      </c>
      <c r="D11" s="8">
        <v>1</v>
      </c>
      <c r="E11" s="8">
        <v>1</v>
      </c>
      <c r="F11" s="8">
        <v>1</v>
      </c>
      <c r="G11" s="8">
        <v>0</v>
      </c>
      <c r="H11" s="8">
        <v>1</v>
      </c>
      <c r="I11" s="8">
        <v>0</v>
      </c>
      <c r="J11" s="8">
        <v>1</v>
      </c>
      <c r="K11" s="8">
        <v>1</v>
      </c>
      <c r="L11" s="8">
        <v>0</v>
      </c>
      <c r="M11" s="8">
        <v>0</v>
      </c>
      <c r="N11" s="8">
        <v>1</v>
      </c>
      <c r="O11" s="8">
        <v>0</v>
      </c>
      <c r="P11" s="8">
        <v>1</v>
      </c>
      <c r="Q11" s="8">
        <v>0</v>
      </c>
      <c r="R11" s="8">
        <v>1</v>
      </c>
      <c r="S11" s="8">
        <v>0</v>
      </c>
      <c r="T11" s="8">
        <v>0</v>
      </c>
      <c r="U11" s="8">
        <v>1</v>
      </c>
      <c r="V11" s="8">
        <v>1</v>
      </c>
      <c r="W11" s="8">
        <v>0</v>
      </c>
      <c r="X11" s="8">
        <v>0</v>
      </c>
      <c r="Y11" s="8">
        <v>1</v>
      </c>
      <c r="Z11" s="8">
        <v>0</v>
      </c>
      <c r="AA11" s="8">
        <v>0</v>
      </c>
      <c r="AB11" s="8">
        <v>0</v>
      </c>
      <c r="AC11" s="8">
        <v>1</v>
      </c>
      <c r="AD11" s="8">
        <v>1</v>
      </c>
      <c r="AE11" s="8">
        <v>1</v>
      </c>
      <c r="AF11" s="8">
        <v>0</v>
      </c>
      <c r="AG11" s="8">
        <v>1</v>
      </c>
      <c r="AH11" s="8">
        <v>0</v>
      </c>
      <c r="AI11" s="8">
        <v>1</v>
      </c>
      <c r="AJ11" s="8">
        <v>0</v>
      </c>
      <c r="AK11" s="8">
        <v>1</v>
      </c>
      <c r="AL11" s="8">
        <v>0</v>
      </c>
      <c r="AM11" s="8">
        <v>0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0</v>
      </c>
      <c r="AV11" s="8">
        <v>1</v>
      </c>
      <c r="AW11" s="8">
        <v>1</v>
      </c>
      <c r="AX11" s="8">
        <v>1</v>
      </c>
      <c r="AY11" s="8">
        <v>0</v>
      </c>
      <c r="AZ11" s="8">
        <v>1</v>
      </c>
      <c r="BA11" s="8">
        <v>0</v>
      </c>
      <c r="BB11" s="8">
        <v>1</v>
      </c>
      <c r="BC11" s="8">
        <v>0</v>
      </c>
      <c r="BD11" s="8">
        <v>1</v>
      </c>
      <c r="BE11" s="8">
        <v>1</v>
      </c>
      <c r="BF11" s="8">
        <v>0</v>
      </c>
      <c r="BG11" s="8">
        <v>1</v>
      </c>
      <c r="BH11" s="8">
        <v>1</v>
      </c>
      <c r="BI11" s="8">
        <v>0</v>
      </c>
      <c r="BJ11" s="8">
        <v>1</v>
      </c>
      <c r="BK11" s="8">
        <v>0</v>
      </c>
      <c r="BL11" s="8">
        <v>1</v>
      </c>
      <c r="BM11" s="8">
        <v>0</v>
      </c>
      <c r="BN11" s="8">
        <v>0</v>
      </c>
      <c r="BO11" s="8">
        <v>1</v>
      </c>
      <c r="BP11" s="8">
        <v>1</v>
      </c>
      <c r="BQ11" s="8">
        <v>1</v>
      </c>
      <c r="BR11" s="8">
        <v>1</v>
      </c>
      <c r="BS11" s="8">
        <v>0</v>
      </c>
      <c r="BT11" s="8">
        <v>1</v>
      </c>
      <c r="BU11" s="8">
        <v>0</v>
      </c>
      <c r="BV11" s="8">
        <v>0</v>
      </c>
      <c r="BW11" s="8">
        <v>1</v>
      </c>
      <c r="BX11" s="8">
        <v>1</v>
      </c>
      <c r="BY11" s="8">
        <v>1</v>
      </c>
      <c r="BZ11" s="8">
        <v>0</v>
      </c>
      <c r="CA11" s="8">
        <v>1</v>
      </c>
      <c r="CB11" s="8">
        <v>0</v>
      </c>
      <c r="CC11" s="8">
        <v>1</v>
      </c>
      <c r="CD11" s="8">
        <v>0</v>
      </c>
      <c r="CE11" s="8">
        <v>1</v>
      </c>
      <c r="CF11" s="8">
        <v>0</v>
      </c>
      <c r="CG11" s="9">
        <f t="shared" si="0"/>
        <v>0.58536585365853655</v>
      </c>
    </row>
    <row r="12" spans="1:85">
      <c r="A12" s="6" t="s">
        <v>185</v>
      </c>
      <c r="B12" s="7" t="s">
        <v>186</v>
      </c>
      <c r="C12" s="8">
        <v>1</v>
      </c>
      <c r="D12" s="8">
        <v>0</v>
      </c>
      <c r="E12" s="8">
        <v>0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1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1</v>
      </c>
      <c r="R12" s="8">
        <v>0</v>
      </c>
      <c r="S12" s="8">
        <v>0</v>
      </c>
      <c r="T12" s="8">
        <v>0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0</v>
      </c>
      <c r="AC12" s="8">
        <v>0</v>
      </c>
      <c r="AD12" s="8">
        <v>1</v>
      </c>
      <c r="AE12" s="8">
        <v>1</v>
      </c>
      <c r="AF12" s="8">
        <v>1</v>
      </c>
      <c r="AG12" s="8">
        <v>0</v>
      </c>
      <c r="AH12" s="8">
        <v>1</v>
      </c>
      <c r="AI12" s="8">
        <v>0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0</v>
      </c>
      <c r="AV12" s="8">
        <v>0</v>
      </c>
      <c r="AW12" s="8">
        <v>1</v>
      </c>
      <c r="AX12" s="8">
        <v>1</v>
      </c>
      <c r="AY12" s="8">
        <v>1</v>
      </c>
      <c r="AZ12" s="8">
        <v>0</v>
      </c>
      <c r="BA12" s="8">
        <v>1</v>
      </c>
      <c r="BB12" s="8">
        <v>0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8">
        <v>0</v>
      </c>
      <c r="BJ12" s="8">
        <v>0</v>
      </c>
      <c r="BK12" s="8">
        <v>1</v>
      </c>
      <c r="BL12" s="8">
        <v>1</v>
      </c>
      <c r="BM12" s="8">
        <v>1</v>
      </c>
      <c r="BN12" s="8">
        <v>0</v>
      </c>
      <c r="BO12" s="8">
        <v>1</v>
      </c>
      <c r="BP12" s="8">
        <v>0</v>
      </c>
      <c r="BQ12" s="8">
        <v>1</v>
      </c>
      <c r="BR12" s="8">
        <v>0</v>
      </c>
      <c r="BS12" s="8">
        <v>1</v>
      </c>
      <c r="BT12" s="8">
        <v>1</v>
      </c>
      <c r="BU12" s="8">
        <v>1</v>
      </c>
      <c r="BV12" s="8">
        <v>0</v>
      </c>
      <c r="BW12" s="8">
        <v>1</v>
      </c>
      <c r="BX12" s="8">
        <v>0</v>
      </c>
      <c r="BY12" s="8">
        <v>1</v>
      </c>
      <c r="BZ12" s="8">
        <v>1</v>
      </c>
      <c r="CA12" s="8">
        <v>0</v>
      </c>
      <c r="CB12" s="8">
        <v>0</v>
      </c>
      <c r="CC12" s="8">
        <v>0</v>
      </c>
      <c r="CD12" s="8">
        <v>1</v>
      </c>
      <c r="CE12" s="8">
        <v>1</v>
      </c>
      <c r="CF12" s="8">
        <v>0</v>
      </c>
      <c r="CG12" s="9">
        <f t="shared" si="0"/>
        <v>0.62195121951219512</v>
      </c>
    </row>
    <row r="13" spans="1:85">
      <c r="A13" s="6" t="s">
        <v>187</v>
      </c>
      <c r="B13" s="7" t="s">
        <v>188</v>
      </c>
      <c r="C13" s="8">
        <v>1</v>
      </c>
      <c r="D13" s="8">
        <v>0</v>
      </c>
      <c r="E13" s="8">
        <v>1</v>
      </c>
      <c r="F13" s="8">
        <v>0</v>
      </c>
      <c r="G13" s="8">
        <v>1</v>
      </c>
      <c r="H13" s="8">
        <v>1</v>
      </c>
      <c r="I13" s="8">
        <v>0</v>
      </c>
      <c r="J13" s="8">
        <v>0</v>
      </c>
      <c r="K13" s="8">
        <v>1</v>
      </c>
      <c r="L13" s="8">
        <v>1</v>
      </c>
      <c r="M13" s="8">
        <v>0</v>
      </c>
      <c r="N13" s="8">
        <v>1</v>
      </c>
      <c r="O13" s="8">
        <v>1</v>
      </c>
      <c r="P13" s="8">
        <v>0</v>
      </c>
      <c r="Q13" s="8">
        <v>0</v>
      </c>
      <c r="R13" s="8">
        <v>1</v>
      </c>
      <c r="S13" s="8">
        <v>0</v>
      </c>
      <c r="T13" s="8">
        <v>1</v>
      </c>
      <c r="U13" s="8">
        <v>0</v>
      </c>
      <c r="V13" s="8">
        <v>1</v>
      </c>
      <c r="W13" s="8">
        <v>1</v>
      </c>
      <c r="X13" s="8">
        <v>0</v>
      </c>
      <c r="Y13" s="8">
        <v>0</v>
      </c>
      <c r="Z13" s="8">
        <v>1</v>
      </c>
      <c r="AA13" s="8">
        <v>1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1</v>
      </c>
      <c r="AI13" s="8">
        <v>1</v>
      </c>
      <c r="AJ13" s="8">
        <v>0</v>
      </c>
      <c r="AK13" s="8">
        <v>1</v>
      </c>
      <c r="AL13" s="8">
        <v>1</v>
      </c>
      <c r="AM13" s="8">
        <v>1</v>
      </c>
      <c r="AN13" s="8">
        <v>1</v>
      </c>
      <c r="AO13" s="8">
        <v>0</v>
      </c>
      <c r="AP13" s="8">
        <v>0</v>
      </c>
      <c r="AQ13" s="8">
        <v>1</v>
      </c>
      <c r="AR13" s="8">
        <v>1</v>
      </c>
      <c r="AS13" s="8">
        <v>1</v>
      </c>
      <c r="AT13" s="8">
        <v>1</v>
      </c>
      <c r="AU13" s="8">
        <v>0</v>
      </c>
      <c r="AV13" s="8">
        <v>0</v>
      </c>
      <c r="AW13" s="8">
        <v>1</v>
      </c>
      <c r="AX13" s="8">
        <v>1</v>
      </c>
      <c r="AY13" s="8">
        <v>0</v>
      </c>
      <c r="AZ13" s="8">
        <v>1</v>
      </c>
      <c r="BA13" s="8">
        <v>1</v>
      </c>
      <c r="BB13" s="8">
        <v>1</v>
      </c>
      <c r="BC13" s="8">
        <v>0</v>
      </c>
      <c r="BD13" s="8">
        <v>1</v>
      </c>
      <c r="BE13" s="8">
        <v>1</v>
      </c>
      <c r="BF13" s="8">
        <v>1</v>
      </c>
      <c r="BG13" s="8">
        <v>1</v>
      </c>
      <c r="BH13" s="8">
        <v>0</v>
      </c>
      <c r="BI13" s="8">
        <v>1</v>
      </c>
      <c r="BJ13" s="8">
        <v>1</v>
      </c>
      <c r="BK13" s="8">
        <v>1</v>
      </c>
      <c r="BL13" s="8">
        <v>1</v>
      </c>
      <c r="BM13" s="8">
        <v>0</v>
      </c>
      <c r="BN13" s="8">
        <v>1</v>
      </c>
      <c r="BO13" s="8">
        <v>0</v>
      </c>
      <c r="BP13" s="8">
        <v>0</v>
      </c>
      <c r="BQ13" s="8">
        <v>0</v>
      </c>
      <c r="BR13" s="8">
        <v>1</v>
      </c>
      <c r="BS13" s="8">
        <v>0</v>
      </c>
      <c r="BT13" s="8">
        <v>1</v>
      </c>
      <c r="BU13" s="8">
        <v>0</v>
      </c>
      <c r="BV13" s="8">
        <v>1</v>
      </c>
      <c r="BW13" s="8">
        <v>0</v>
      </c>
      <c r="BX13" s="8">
        <v>0</v>
      </c>
      <c r="BY13" s="8">
        <v>0</v>
      </c>
      <c r="BZ13" s="8">
        <v>0</v>
      </c>
      <c r="CA13" s="8">
        <v>1</v>
      </c>
      <c r="CB13" s="8">
        <v>0</v>
      </c>
      <c r="CC13" s="8">
        <v>1</v>
      </c>
      <c r="CD13" s="8">
        <v>0</v>
      </c>
      <c r="CE13" s="8">
        <v>1</v>
      </c>
      <c r="CF13" s="8">
        <v>0</v>
      </c>
      <c r="CG13" s="9">
        <f t="shared" si="0"/>
        <v>0.56097560975609762</v>
      </c>
    </row>
    <row r="14" spans="1:85">
      <c r="A14" s="6" t="s">
        <v>189</v>
      </c>
      <c r="B14" s="7" t="s">
        <v>190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0</v>
      </c>
      <c r="J14" s="8">
        <v>0</v>
      </c>
      <c r="K14" s="8">
        <v>0</v>
      </c>
      <c r="L14" s="8">
        <v>1</v>
      </c>
      <c r="M14" s="8">
        <v>1</v>
      </c>
      <c r="N14" s="8">
        <v>1</v>
      </c>
      <c r="O14" s="8">
        <v>0</v>
      </c>
      <c r="P14" s="8">
        <v>0</v>
      </c>
      <c r="Q14" s="8">
        <v>1</v>
      </c>
      <c r="R14" s="8">
        <v>1</v>
      </c>
      <c r="S14" s="8">
        <v>0</v>
      </c>
      <c r="T14" s="8">
        <v>1</v>
      </c>
      <c r="U14" s="8">
        <v>1</v>
      </c>
      <c r="V14" s="8">
        <v>1</v>
      </c>
      <c r="W14" s="8">
        <v>1</v>
      </c>
      <c r="X14" s="8">
        <v>1</v>
      </c>
      <c r="Y14" s="8">
        <v>1</v>
      </c>
      <c r="Z14" s="8">
        <v>1</v>
      </c>
      <c r="AA14" s="8">
        <v>1</v>
      </c>
      <c r="AB14" s="8">
        <v>0</v>
      </c>
      <c r="AC14" s="8">
        <v>0</v>
      </c>
      <c r="AD14" s="8">
        <v>1</v>
      </c>
      <c r="AE14" s="8">
        <v>1</v>
      </c>
      <c r="AF14" s="8">
        <v>1</v>
      </c>
      <c r="AG14" s="8">
        <v>1</v>
      </c>
      <c r="AH14" s="8">
        <v>0</v>
      </c>
      <c r="AI14" s="8">
        <v>0</v>
      </c>
      <c r="AJ14" s="8">
        <v>1</v>
      </c>
      <c r="AK14" s="8">
        <v>1</v>
      </c>
      <c r="AL14" s="8">
        <v>0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0</v>
      </c>
      <c r="AV14" s="8">
        <v>0</v>
      </c>
      <c r="AW14" s="8">
        <v>0</v>
      </c>
      <c r="AX14" s="8">
        <v>1</v>
      </c>
      <c r="AY14" s="8">
        <v>1</v>
      </c>
      <c r="AZ14" s="8">
        <v>1</v>
      </c>
      <c r="BA14" s="8">
        <v>0</v>
      </c>
      <c r="BB14" s="8">
        <v>0</v>
      </c>
      <c r="BC14" s="8">
        <v>1</v>
      </c>
      <c r="BD14" s="8">
        <v>1</v>
      </c>
      <c r="BE14" s="8">
        <v>0</v>
      </c>
      <c r="BF14" s="8">
        <v>1</v>
      </c>
      <c r="BG14" s="8">
        <v>1</v>
      </c>
      <c r="BH14" s="8">
        <v>1</v>
      </c>
      <c r="BI14" s="8">
        <v>1</v>
      </c>
      <c r="BJ14" s="8">
        <v>0</v>
      </c>
      <c r="BK14" s="8">
        <v>1</v>
      </c>
      <c r="BL14" s="8">
        <v>1</v>
      </c>
      <c r="BM14" s="8">
        <v>0</v>
      </c>
      <c r="BN14" s="8">
        <v>1</v>
      </c>
      <c r="BO14" s="8">
        <v>0</v>
      </c>
      <c r="BP14" s="8">
        <v>0</v>
      </c>
      <c r="BQ14" s="8">
        <v>1</v>
      </c>
      <c r="BR14" s="8">
        <v>0</v>
      </c>
      <c r="BS14" s="8">
        <v>1</v>
      </c>
      <c r="BT14" s="8">
        <v>1</v>
      </c>
      <c r="BU14" s="8">
        <v>0</v>
      </c>
      <c r="BV14" s="8">
        <v>1</v>
      </c>
      <c r="BW14" s="8">
        <v>0</v>
      </c>
      <c r="BX14" s="8">
        <v>0</v>
      </c>
      <c r="BY14" s="8">
        <v>1</v>
      </c>
      <c r="BZ14" s="8">
        <v>0</v>
      </c>
      <c r="CA14" s="8">
        <v>1</v>
      </c>
      <c r="CB14" s="8">
        <v>1</v>
      </c>
      <c r="CC14" s="8">
        <v>0</v>
      </c>
      <c r="CD14" s="8">
        <v>0</v>
      </c>
      <c r="CE14" s="8">
        <v>1</v>
      </c>
      <c r="CF14" s="8">
        <v>0</v>
      </c>
      <c r="CG14" s="9">
        <f t="shared" si="0"/>
        <v>0.64634146341463417</v>
      </c>
    </row>
    <row r="15" spans="1:85">
      <c r="A15" s="6" t="s">
        <v>191</v>
      </c>
      <c r="B15" s="7" t="s">
        <v>192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0</v>
      </c>
      <c r="L15" s="8">
        <v>1</v>
      </c>
      <c r="M15" s="8">
        <v>1</v>
      </c>
      <c r="N15" s="8">
        <v>1</v>
      </c>
      <c r="O15" s="8">
        <v>1</v>
      </c>
      <c r="P15" s="8">
        <v>0</v>
      </c>
      <c r="Q15" s="8">
        <v>1</v>
      </c>
      <c r="R15" s="8">
        <v>1</v>
      </c>
      <c r="S15" s="8">
        <v>1</v>
      </c>
      <c r="T15" s="8">
        <v>0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0</v>
      </c>
      <c r="AE15" s="8">
        <v>1</v>
      </c>
      <c r="AF15" s="8">
        <v>1</v>
      </c>
      <c r="AG15" s="8">
        <v>1</v>
      </c>
      <c r="AH15" s="8">
        <v>1</v>
      </c>
      <c r="AI15" s="8">
        <v>0</v>
      </c>
      <c r="AJ15" s="8">
        <v>1</v>
      </c>
      <c r="AK15" s="8">
        <v>1</v>
      </c>
      <c r="AL15" s="8">
        <v>1</v>
      </c>
      <c r="AM15" s="8">
        <v>0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0</v>
      </c>
      <c r="AX15" s="8">
        <v>1</v>
      </c>
      <c r="AY15" s="8">
        <v>1</v>
      </c>
      <c r="AZ15" s="8">
        <v>1</v>
      </c>
      <c r="BA15" s="8">
        <v>1</v>
      </c>
      <c r="BB15" s="8">
        <v>0</v>
      </c>
      <c r="BC15" s="8">
        <v>1</v>
      </c>
      <c r="BD15" s="8">
        <v>1</v>
      </c>
      <c r="BE15" s="8">
        <v>1</v>
      </c>
      <c r="BF15" s="8">
        <v>0</v>
      </c>
      <c r="BG15" s="8">
        <v>1</v>
      </c>
      <c r="BH15" s="8">
        <v>0</v>
      </c>
      <c r="BI15" s="8">
        <v>0</v>
      </c>
      <c r="BJ15" s="8">
        <v>0</v>
      </c>
      <c r="BK15" s="8">
        <v>0</v>
      </c>
      <c r="BL15" s="8">
        <v>1</v>
      </c>
      <c r="BM15" s="8">
        <v>1</v>
      </c>
      <c r="BN15" s="8">
        <v>0</v>
      </c>
      <c r="BO15" s="8">
        <v>1</v>
      </c>
      <c r="BP15" s="8">
        <v>0</v>
      </c>
      <c r="BQ15" s="8">
        <v>0</v>
      </c>
      <c r="BR15" s="8">
        <v>0</v>
      </c>
      <c r="BS15" s="8">
        <v>0</v>
      </c>
      <c r="BT15" s="8">
        <v>1</v>
      </c>
      <c r="BU15" s="8">
        <v>1</v>
      </c>
      <c r="BV15" s="8">
        <v>0</v>
      </c>
      <c r="BW15" s="8">
        <v>1</v>
      </c>
      <c r="BX15" s="8">
        <v>0</v>
      </c>
      <c r="BY15" s="8">
        <v>0</v>
      </c>
      <c r="BZ15" s="8">
        <v>1</v>
      </c>
      <c r="CA15" s="8">
        <v>1</v>
      </c>
      <c r="CB15" s="8">
        <v>0</v>
      </c>
      <c r="CC15" s="8">
        <v>1</v>
      </c>
      <c r="CD15" s="8">
        <v>0</v>
      </c>
      <c r="CE15" s="8">
        <v>1</v>
      </c>
      <c r="CF15" s="8">
        <v>1</v>
      </c>
      <c r="CG15" s="9">
        <f t="shared" si="0"/>
        <v>0.71951219512195119</v>
      </c>
    </row>
    <row r="16" spans="1:85">
      <c r="A16" s="6" t="s">
        <v>193</v>
      </c>
      <c r="B16" s="7" t="s">
        <v>194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0</v>
      </c>
      <c r="I16" s="8">
        <v>1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0</v>
      </c>
      <c r="P16" s="8">
        <v>0</v>
      </c>
      <c r="Q16" s="8">
        <v>0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0</v>
      </c>
      <c r="AB16" s="8">
        <v>1</v>
      </c>
      <c r="AC16" s="8">
        <v>1</v>
      </c>
      <c r="AD16" s="8">
        <v>0</v>
      </c>
      <c r="AE16" s="8">
        <v>1</v>
      </c>
      <c r="AF16" s="8">
        <v>1</v>
      </c>
      <c r="AG16" s="8">
        <v>1</v>
      </c>
      <c r="AH16" s="8">
        <v>0</v>
      </c>
      <c r="AI16" s="8">
        <v>0</v>
      </c>
      <c r="AJ16" s="8">
        <v>0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0</v>
      </c>
      <c r="AU16" s="8">
        <v>1</v>
      </c>
      <c r="AV16" s="8">
        <v>1</v>
      </c>
      <c r="AW16" s="8">
        <v>0</v>
      </c>
      <c r="AX16" s="8">
        <v>1</v>
      </c>
      <c r="AY16" s="8">
        <v>1</v>
      </c>
      <c r="AZ16" s="8">
        <v>1</v>
      </c>
      <c r="BA16" s="8">
        <v>0</v>
      </c>
      <c r="BB16" s="8">
        <v>0</v>
      </c>
      <c r="BC16" s="8">
        <v>0</v>
      </c>
      <c r="BD16" s="8">
        <v>1</v>
      </c>
      <c r="BE16" s="8">
        <v>1</v>
      </c>
      <c r="BF16" s="8">
        <v>1</v>
      </c>
      <c r="BG16" s="8">
        <v>1</v>
      </c>
      <c r="BH16" s="8">
        <v>1</v>
      </c>
      <c r="BI16" s="8">
        <v>1</v>
      </c>
      <c r="BJ16" s="8">
        <v>0</v>
      </c>
      <c r="BK16" s="8">
        <v>1</v>
      </c>
      <c r="BL16" s="8">
        <v>0</v>
      </c>
      <c r="BM16" s="8">
        <v>0</v>
      </c>
      <c r="BN16" s="8">
        <v>1</v>
      </c>
      <c r="BO16" s="8">
        <v>1</v>
      </c>
      <c r="BP16" s="8">
        <v>0</v>
      </c>
      <c r="BQ16" s="8">
        <v>1</v>
      </c>
      <c r="BR16" s="8">
        <v>0</v>
      </c>
      <c r="BS16" s="8">
        <v>1</v>
      </c>
      <c r="BT16" s="8">
        <v>0</v>
      </c>
      <c r="BU16" s="8">
        <v>0</v>
      </c>
      <c r="BV16" s="8">
        <v>1</v>
      </c>
      <c r="BW16" s="8">
        <v>1</v>
      </c>
      <c r="BX16" s="8">
        <v>0</v>
      </c>
      <c r="BY16" s="8">
        <v>1</v>
      </c>
      <c r="BZ16" s="8">
        <v>1</v>
      </c>
      <c r="CA16" s="8">
        <v>1</v>
      </c>
      <c r="CB16" s="8">
        <v>0</v>
      </c>
      <c r="CC16" s="8">
        <v>0</v>
      </c>
      <c r="CD16" s="8">
        <v>0</v>
      </c>
      <c r="CE16" s="8">
        <v>0</v>
      </c>
      <c r="CF16" s="8">
        <v>1</v>
      </c>
      <c r="CG16" s="9">
        <f t="shared" si="0"/>
        <v>0.67073170731707321</v>
      </c>
    </row>
    <row r="17" spans="1:85">
      <c r="A17" s="6" t="s">
        <v>195</v>
      </c>
      <c r="B17" s="7" t="s">
        <v>196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0</v>
      </c>
      <c r="I17" s="8">
        <v>0</v>
      </c>
      <c r="J17" s="8">
        <v>1</v>
      </c>
      <c r="K17" s="8">
        <v>0</v>
      </c>
      <c r="L17" s="8">
        <v>1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1</v>
      </c>
      <c r="S17" s="8">
        <v>1</v>
      </c>
      <c r="T17" s="8">
        <v>0</v>
      </c>
      <c r="U17" s="8">
        <v>1</v>
      </c>
      <c r="V17" s="8">
        <v>1</v>
      </c>
      <c r="W17" s="8">
        <v>1</v>
      </c>
      <c r="X17" s="8">
        <v>1</v>
      </c>
      <c r="Y17" s="8">
        <v>1</v>
      </c>
      <c r="Z17" s="8">
        <v>1</v>
      </c>
      <c r="AA17" s="8">
        <v>0</v>
      </c>
      <c r="AB17" s="8">
        <v>0</v>
      </c>
      <c r="AC17" s="8">
        <v>1</v>
      </c>
      <c r="AD17" s="8">
        <v>0</v>
      </c>
      <c r="AE17" s="8">
        <v>1</v>
      </c>
      <c r="AF17" s="8">
        <v>0</v>
      </c>
      <c r="AG17" s="8">
        <v>0</v>
      </c>
      <c r="AH17" s="8">
        <v>1</v>
      </c>
      <c r="AI17" s="8">
        <v>0</v>
      </c>
      <c r="AJ17" s="8">
        <v>0</v>
      </c>
      <c r="AK17" s="8">
        <v>1</v>
      </c>
      <c r="AL17" s="8">
        <v>1</v>
      </c>
      <c r="AM17" s="8">
        <v>0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0</v>
      </c>
      <c r="AU17" s="8">
        <v>0</v>
      </c>
      <c r="AV17" s="8">
        <v>1</v>
      </c>
      <c r="AW17" s="8">
        <v>0</v>
      </c>
      <c r="AX17" s="8">
        <v>1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  <c r="BD17" s="8">
        <v>1</v>
      </c>
      <c r="BE17" s="8">
        <v>1</v>
      </c>
      <c r="BF17" s="8">
        <v>0</v>
      </c>
      <c r="BG17" s="8">
        <v>1</v>
      </c>
      <c r="BH17" s="8">
        <v>1</v>
      </c>
      <c r="BI17" s="8">
        <v>1</v>
      </c>
      <c r="BJ17" s="8">
        <v>1</v>
      </c>
      <c r="BK17" s="8">
        <v>1</v>
      </c>
      <c r="BL17" s="8">
        <v>0</v>
      </c>
      <c r="BM17" s="8">
        <v>0</v>
      </c>
      <c r="BN17" s="8">
        <v>0</v>
      </c>
      <c r="BO17" s="8">
        <v>1</v>
      </c>
      <c r="BP17" s="8">
        <v>0</v>
      </c>
      <c r="BQ17" s="8">
        <v>1</v>
      </c>
      <c r="BR17" s="8">
        <v>1</v>
      </c>
      <c r="BS17" s="8">
        <v>1</v>
      </c>
      <c r="BT17" s="8">
        <v>0</v>
      </c>
      <c r="BU17" s="8">
        <v>0</v>
      </c>
      <c r="BV17" s="8">
        <v>0</v>
      </c>
      <c r="BW17" s="8">
        <v>1</v>
      </c>
      <c r="BX17" s="8">
        <v>0</v>
      </c>
      <c r="BY17" s="8">
        <v>1</v>
      </c>
      <c r="BZ17" s="8">
        <v>0</v>
      </c>
      <c r="CA17" s="8">
        <v>1</v>
      </c>
      <c r="CB17" s="8">
        <v>0</v>
      </c>
      <c r="CC17" s="8">
        <v>1</v>
      </c>
      <c r="CD17" s="8">
        <v>0</v>
      </c>
      <c r="CE17" s="8">
        <v>0</v>
      </c>
      <c r="CF17" s="8">
        <v>0</v>
      </c>
      <c r="CG17" s="9">
        <f t="shared" si="0"/>
        <v>0.54878048780487809</v>
      </c>
    </row>
    <row r="18" spans="1:85">
      <c r="A18" s="6" t="s">
        <v>197</v>
      </c>
      <c r="B18" s="7" t="s">
        <v>198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1</v>
      </c>
      <c r="N18" s="8">
        <v>1</v>
      </c>
      <c r="O18" s="8">
        <v>1</v>
      </c>
      <c r="P18" s="8">
        <v>0</v>
      </c>
      <c r="Q18" s="8">
        <v>0</v>
      </c>
      <c r="R18" s="8">
        <v>1</v>
      </c>
      <c r="S18" s="8">
        <v>0</v>
      </c>
      <c r="T18" s="8">
        <v>1</v>
      </c>
      <c r="U18" s="8">
        <v>1</v>
      </c>
      <c r="V18" s="8">
        <v>1</v>
      </c>
      <c r="W18" s="8">
        <v>1</v>
      </c>
      <c r="X18" s="8">
        <v>1</v>
      </c>
      <c r="Y18" s="8">
        <v>1</v>
      </c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8">
        <v>1</v>
      </c>
      <c r="AH18" s="8">
        <v>1</v>
      </c>
      <c r="AI18" s="8">
        <v>0</v>
      </c>
      <c r="AJ18" s="8">
        <v>0</v>
      </c>
      <c r="AK18" s="8">
        <v>1</v>
      </c>
      <c r="AL18" s="8">
        <v>0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0</v>
      </c>
      <c r="AU18" s="8">
        <v>0</v>
      </c>
      <c r="AV18" s="8">
        <v>0</v>
      </c>
      <c r="AW18" s="8">
        <v>0</v>
      </c>
      <c r="AX18" s="8">
        <v>1</v>
      </c>
      <c r="AY18" s="8">
        <v>1</v>
      </c>
      <c r="AZ18" s="8">
        <v>1</v>
      </c>
      <c r="BA18" s="8">
        <v>1</v>
      </c>
      <c r="BB18" s="8">
        <v>0</v>
      </c>
      <c r="BC18" s="8">
        <v>0</v>
      </c>
      <c r="BD18" s="8">
        <v>1</v>
      </c>
      <c r="BE18" s="8">
        <v>0</v>
      </c>
      <c r="BF18" s="8">
        <v>1</v>
      </c>
      <c r="BG18" s="8">
        <v>1</v>
      </c>
      <c r="BH18" s="8">
        <v>1</v>
      </c>
      <c r="BI18" s="8">
        <v>0</v>
      </c>
      <c r="BJ18" s="8">
        <v>0</v>
      </c>
      <c r="BK18" s="8">
        <v>1</v>
      </c>
      <c r="BL18" s="8">
        <v>0</v>
      </c>
      <c r="BM18" s="8">
        <v>1</v>
      </c>
      <c r="BN18" s="8">
        <v>1</v>
      </c>
      <c r="BO18" s="8">
        <v>1</v>
      </c>
      <c r="BP18" s="8">
        <v>0</v>
      </c>
      <c r="BQ18" s="8">
        <v>1</v>
      </c>
      <c r="BR18" s="8">
        <v>0</v>
      </c>
      <c r="BS18" s="8">
        <v>1</v>
      </c>
      <c r="BT18" s="8">
        <v>0</v>
      </c>
      <c r="BU18" s="8">
        <v>1</v>
      </c>
      <c r="BV18" s="8">
        <v>1</v>
      </c>
      <c r="BW18" s="8">
        <v>1</v>
      </c>
      <c r="BX18" s="8">
        <v>0</v>
      </c>
      <c r="BY18" s="8">
        <v>1</v>
      </c>
      <c r="BZ18" s="8">
        <v>0</v>
      </c>
      <c r="CA18" s="8">
        <v>0</v>
      </c>
      <c r="CB18" s="8">
        <v>1</v>
      </c>
      <c r="CC18" s="8">
        <v>1</v>
      </c>
      <c r="CD18" s="8">
        <v>0</v>
      </c>
      <c r="CE18" s="8">
        <v>0</v>
      </c>
      <c r="CF18" s="8">
        <v>0</v>
      </c>
      <c r="CG18" s="9">
        <f t="shared" si="0"/>
        <v>0.59756097560975607</v>
      </c>
    </row>
    <row r="19" spans="1:85">
      <c r="A19" s="6" t="s">
        <v>199</v>
      </c>
      <c r="B19" s="7" t="s">
        <v>200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0</v>
      </c>
      <c r="I19" s="8">
        <v>0</v>
      </c>
      <c r="J19" s="8">
        <v>1</v>
      </c>
      <c r="K19" s="8">
        <v>0</v>
      </c>
      <c r="L19" s="8">
        <v>1</v>
      </c>
      <c r="M19" s="8">
        <v>0</v>
      </c>
      <c r="N19" s="8">
        <v>0</v>
      </c>
      <c r="O19" s="8">
        <v>1</v>
      </c>
      <c r="P19" s="8">
        <v>0</v>
      </c>
      <c r="Q19" s="8">
        <v>1</v>
      </c>
      <c r="R19" s="8">
        <v>1</v>
      </c>
      <c r="S19" s="8">
        <v>1</v>
      </c>
      <c r="T19" s="8">
        <v>0</v>
      </c>
      <c r="U19" s="8">
        <v>1</v>
      </c>
      <c r="V19" s="8">
        <v>1</v>
      </c>
      <c r="W19" s="8">
        <v>1</v>
      </c>
      <c r="X19" s="8">
        <v>1</v>
      </c>
      <c r="Y19" s="8">
        <v>1</v>
      </c>
      <c r="Z19" s="8">
        <v>1</v>
      </c>
      <c r="AA19" s="8">
        <v>0</v>
      </c>
      <c r="AB19" s="8">
        <v>0</v>
      </c>
      <c r="AC19" s="8">
        <v>1</v>
      </c>
      <c r="AD19" s="8">
        <v>0</v>
      </c>
      <c r="AE19" s="8">
        <v>1</v>
      </c>
      <c r="AF19" s="8">
        <v>0</v>
      </c>
      <c r="AG19" s="8">
        <v>0</v>
      </c>
      <c r="AH19" s="8">
        <v>1</v>
      </c>
      <c r="AI19" s="8">
        <v>0</v>
      </c>
      <c r="AJ19" s="8">
        <v>1</v>
      </c>
      <c r="AK19" s="8">
        <v>1</v>
      </c>
      <c r="AL19" s="8">
        <v>1</v>
      </c>
      <c r="AM19" s="8">
        <v>0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0</v>
      </c>
      <c r="AU19" s="8">
        <v>0</v>
      </c>
      <c r="AV19" s="8">
        <v>1</v>
      </c>
      <c r="AW19" s="8">
        <v>0</v>
      </c>
      <c r="AX19" s="8">
        <v>1</v>
      </c>
      <c r="AY19" s="8">
        <v>0</v>
      </c>
      <c r="AZ19" s="8">
        <v>0</v>
      </c>
      <c r="BA19" s="8">
        <v>1</v>
      </c>
      <c r="BB19" s="8">
        <v>0</v>
      </c>
      <c r="BC19" s="8">
        <v>1</v>
      </c>
      <c r="BD19" s="8">
        <v>1</v>
      </c>
      <c r="BE19" s="8">
        <v>1</v>
      </c>
      <c r="BF19" s="8">
        <v>0</v>
      </c>
      <c r="BG19" s="8">
        <v>1</v>
      </c>
      <c r="BH19" s="8">
        <v>0</v>
      </c>
      <c r="BI19" s="8">
        <v>0</v>
      </c>
      <c r="BJ19" s="8">
        <v>1</v>
      </c>
      <c r="BK19" s="8">
        <v>0</v>
      </c>
      <c r="BL19" s="8">
        <v>0</v>
      </c>
      <c r="BM19" s="8">
        <v>1</v>
      </c>
      <c r="BN19" s="8">
        <v>1</v>
      </c>
      <c r="BO19" s="8">
        <v>0</v>
      </c>
      <c r="BP19" s="8">
        <v>1</v>
      </c>
      <c r="BQ19" s="8">
        <v>0</v>
      </c>
      <c r="BR19" s="8">
        <v>1</v>
      </c>
      <c r="BS19" s="8">
        <v>0</v>
      </c>
      <c r="BT19" s="8">
        <v>0</v>
      </c>
      <c r="BU19" s="8">
        <v>1</v>
      </c>
      <c r="BV19" s="8">
        <v>1</v>
      </c>
      <c r="BW19" s="8">
        <v>0</v>
      </c>
      <c r="BX19" s="8">
        <v>1</v>
      </c>
      <c r="BY19" s="8">
        <v>0</v>
      </c>
      <c r="BZ19" s="8">
        <v>0</v>
      </c>
      <c r="CA19" s="8">
        <v>0</v>
      </c>
      <c r="CB19" s="8">
        <v>0</v>
      </c>
      <c r="CC19" s="8">
        <v>1</v>
      </c>
      <c r="CD19" s="8">
        <v>1</v>
      </c>
      <c r="CE19" s="8">
        <v>0</v>
      </c>
      <c r="CF19" s="8">
        <v>0</v>
      </c>
      <c r="CG19" s="9">
        <f t="shared" si="0"/>
        <v>0.56097560975609762</v>
      </c>
    </row>
    <row r="20" spans="1:85" ht="15.75" customHeight="1">
      <c r="A20" s="6" t="s">
        <v>201</v>
      </c>
      <c r="B20" s="7" t="s">
        <v>202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0</v>
      </c>
      <c r="K20" s="8">
        <v>0</v>
      </c>
      <c r="L20" s="8">
        <v>1</v>
      </c>
      <c r="M20" s="8">
        <v>0</v>
      </c>
      <c r="N20" s="8">
        <v>0</v>
      </c>
      <c r="O20" s="8">
        <v>1</v>
      </c>
      <c r="P20" s="8">
        <v>1</v>
      </c>
      <c r="Q20" s="8">
        <v>0</v>
      </c>
      <c r="R20" s="8">
        <v>1</v>
      </c>
      <c r="S20" s="8">
        <v>1</v>
      </c>
      <c r="T20" s="8">
        <v>0</v>
      </c>
      <c r="U20" s="8">
        <v>1</v>
      </c>
      <c r="V20" s="8">
        <v>1</v>
      </c>
      <c r="W20" s="8">
        <v>1</v>
      </c>
      <c r="X20" s="8">
        <v>1</v>
      </c>
      <c r="Y20" s="8">
        <v>1</v>
      </c>
      <c r="Z20" s="8">
        <v>1</v>
      </c>
      <c r="AA20" s="8">
        <v>1</v>
      </c>
      <c r="AB20" s="8">
        <v>1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1</v>
      </c>
      <c r="AI20" s="8">
        <v>1</v>
      </c>
      <c r="AJ20" s="8">
        <v>0</v>
      </c>
      <c r="AK20" s="8">
        <v>1</v>
      </c>
      <c r="AL20" s="8">
        <v>1</v>
      </c>
      <c r="AM20" s="8">
        <v>0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0</v>
      </c>
      <c r="AW20" s="8">
        <v>0</v>
      </c>
      <c r="AX20" s="8">
        <v>1</v>
      </c>
      <c r="AY20" s="8">
        <v>0</v>
      </c>
      <c r="AZ20" s="8">
        <v>0</v>
      </c>
      <c r="BA20" s="8">
        <v>1</v>
      </c>
      <c r="BB20" s="8">
        <v>1</v>
      </c>
      <c r="BC20" s="8">
        <v>0</v>
      </c>
      <c r="BD20" s="8">
        <v>1</v>
      </c>
      <c r="BE20" s="8">
        <v>1</v>
      </c>
      <c r="BF20" s="8">
        <v>0</v>
      </c>
      <c r="BG20" s="8">
        <v>1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1</v>
      </c>
      <c r="BN20" s="8">
        <v>0</v>
      </c>
      <c r="BO20" s="8">
        <v>1</v>
      </c>
      <c r="BP20" s="8">
        <v>1</v>
      </c>
      <c r="BQ20" s="8">
        <v>0</v>
      </c>
      <c r="BR20" s="8">
        <v>0</v>
      </c>
      <c r="BS20" s="8">
        <v>0</v>
      </c>
      <c r="BT20" s="8">
        <v>0</v>
      </c>
      <c r="BU20" s="8">
        <v>1</v>
      </c>
      <c r="BV20" s="8">
        <v>0</v>
      </c>
      <c r="BW20" s="8">
        <v>1</v>
      </c>
      <c r="BX20" s="8">
        <v>1</v>
      </c>
      <c r="BY20" s="8">
        <v>0</v>
      </c>
      <c r="BZ20" s="8">
        <v>0</v>
      </c>
      <c r="CA20" s="8">
        <v>0</v>
      </c>
      <c r="CB20" s="8">
        <v>0</v>
      </c>
      <c r="CC20" s="8">
        <v>1</v>
      </c>
      <c r="CD20" s="8">
        <v>0</v>
      </c>
      <c r="CE20" s="8">
        <v>1</v>
      </c>
      <c r="CF20" s="8">
        <v>1</v>
      </c>
      <c r="CG20" s="9">
        <f t="shared" si="0"/>
        <v>0.58536585365853655</v>
      </c>
    </row>
    <row r="21" spans="1:85" ht="15.75" customHeight="1">
      <c r="A21" s="6" t="s">
        <v>203</v>
      </c>
      <c r="B21" s="7" t="s">
        <v>204</v>
      </c>
      <c r="C21" s="8">
        <v>0</v>
      </c>
      <c r="D21" s="8">
        <v>0</v>
      </c>
      <c r="E21" s="8">
        <v>1</v>
      </c>
      <c r="F21" s="8">
        <v>0</v>
      </c>
      <c r="G21" s="8">
        <v>1</v>
      </c>
      <c r="H21" s="8">
        <v>1</v>
      </c>
      <c r="I21" s="8">
        <v>0</v>
      </c>
      <c r="J21" s="8">
        <v>1</v>
      </c>
      <c r="K21" s="8">
        <v>0</v>
      </c>
      <c r="L21" s="8">
        <v>1</v>
      </c>
      <c r="M21" s="8">
        <v>1</v>
      </c>
      <c r="N21" s="8">
        <v>0</v>
      </c>
      <c r="O21" s="8">
        <v>1</v>
      </c>
      <c r="P21" s="8">
        <v>0</v>
      </c>
      <c r="Q21" s="8">
        <v>1</v>
      </c>
      <c r="R21" s="8">
        <v>0</v>
      </c>
      <c r="S21" s="8">
        <v>1</v>
      </c>
      <c r="T21" s="8">
        <v>1</v>
      </c>
      <c r="U21" s="8">
        <v>1</v>
      </c>
      <c r="V21" s="8">
        <v>0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1</v>
      </c>
      <c r="AG21" s="8">
        <v>0</v>
      </c>
      <c r="AH21" s="8">
        <v>0</v>
      </c>
      <c r="AI21" s="8">
        <v>1</v>
      </c>
      <c r="AJ21" s="8">
        <v>1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1</v>
      </c>
      <c r="AR21" s="8">
        <v>0</v>
      </c>
      <c r="AS21" s="8">
        <v>0</v>
      </c>
      <c r="AT21" s="8">
        <v>1</v>
      </c>
      <c r="AU21" s="8">
        <v>0</v>
      </c>
      <c r="AV21" s="8">
        <v>0</v>
      </c>
      <c r="AW21" s="8">
        <v>0</v>
      </c>
      <c r="AX21" s="8">
        <v>0</v>
      </c>
      <c r="AY21" s="8">
        <v>1</v>
      </c>
      <c r="AZ21" s="8">
        <v>0</v>
      </c>
      <c r="BA21" s="8">
        <v>0</v>
      </c>
      <c r="BB21" s="8">
        <v>0</v>
      </c>
      <c r="BC21" s="8">
        <v>1</v>
      </c>
      <c r="BD21" s="8">
        <v>0</v>
      </c>
      <c r="BE21" s="8">
        <v>0</v>
      </c>
      <c r="BF21" s="8">
        <v>0</v>
      </c>
      <c r="BG21" s="8">
        <v>0</v>
      </c>
      <c r="BH21" s="8">
        <v>1</v>
      </c>
      <c r="BI21" s="8">
        <v>1</v>
      </c>
      <c r="BJ21" s="8">
        <v>1</v>
      </c>
      <c r="BK21" s="8">
        <v>0</v>
      </c>
      <c r="BL21" s="8">
        <v>1</v>
      </c>
      <c r="BM21" s="8">
        <v>0</v>
      </c>
      <c r="BN21" s="8">
        <v>0</v>
      </c>
      <c r="BO21" s="8">
        <v>0</v>
      </c>
      <c r="BP21" s="8">
        <v>0</v>
      </c>
      <c r="BQ21" s="8">
        <v>1</v>
      </c>
      <c r="BR21" s="8">
        <v>1</v>
      </c>
      <c r="BS21" s="8">
        <v>0</v>
      </c>
      <c r="BT21" s="8">
        <v>1</v>
      </c>
      <c r="BU21" s="8">
        <v>1</v>
      </c>
      <c r="BV21" s="8">
        <v>1</v>
      </c>
      <c r="BW21" s="8">
        <v>0</v>
      </c>
      <c r="BX21" s="8">
        <v>1</v>
      </c>
      <c r="BY21" s="8">
        <v>1</v>
      </c>
      <c r="BZ21" s="8">
        <v>0</v>
      </c>
      <c r="CA21" s="8">
        <v>1</v>
      </c>
      <c r="CB21" s="8">
        <v>1</v>
      </c>
      <c r="CC21" s="8">
        <v>0</v>
      </c>
      <c r="CD21" s="8">
        <v>1</v>
      </c>
      <c r="CE21" s="8">
        <v>1</v>
      </c>
      <c r="CF21" s="8">
        <v>0</v>
      </c>
      <c r="CG21" s="9">
        <f t="shared" si="0"/>
        <v>0.41463414634146339</v>
      </c>
    </row>
    <row r="22" spans="1:85" ht="15.75" customHeight="1">
      <c r="A22" s="6" t="s">
        <v>205</v>
      </c>
      <c r="B22" s="7" t="s">
        <v>206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0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v>1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0</v>
      </c>
      <c r="AI22" s="8">
        <v>0</v>
      </c>
      <c r="AJ22" s="8">
        <v>0</v>
      </c>
      <c r="AK22" s="8">
        <v>1</v>
      </c>
      <c r="AL22" s="8">
        <v>1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8">
        <v>1</v>
      </c>
      <c r="AW22" s="8">
        <v>1</v>
      </c>
      <c r="AX22" s="8">
        <v>1</v>
      </c>
      <c r="AY22" s="8">
        <v>1</v>
      </c>
      <c r="AZ22" s="8">
        <v>1</v>
      </c>
      <c r="BA22" s="8">
        <v>0</v>
      </c>
      <c r="BB22" s="8">
        <v>0</v>
      </c>
      <c r="BC22" s="8">
        <v>0</v>
      </c>
      <c r="BD22" s="8">
        <v>1</v>
      </c>
      <c r="BE22" s="8">
        <v>1</v>
      </c>
      <c r="BF22" s="8">
        <v>1</v>
      </c>
      <c r="BG22" s="8">
        <v>1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1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1</v>
      </c>
      <c r="BY22" s="8">
        <v>0</v>
      </c>
      <c r="BZ22" s="8">
        <v>0</v>
      </c>
      <c r="CA22" s="8">
        <v>0</v>
      </c>
      <c r="CB22" s="8">
        <v>0</v>
      </c>
      <c r="CC22" s="8">
        <v>1</v>
      </c>
      <c r="CD22" s="8">
        <v>1</v>
      </c>
      <c r="CE22" s="8">
        <v>1</v>
      </c>
      <c r="CF22" s="8">
        <v>1</v>
      </c>
      <c r="CG22" s="9">
        <f t="shared" si="0"/>
        <v>0.65853658536585369</v>
      </c>
    </row>
    <row r="23" spans="1:85" ht="15.75" customHeight="1">
      <c r="A23" s="6" t="s">
        <v>207</v>
      </c>
      <c r="B23" s="7" t="s">
        <v>208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1</v>
      </c>
      <c r="Q23" s="8">
        <v>1</v>
      </c>
      <c r="R23" s="8">
        <v>1</v>
      </c>
      <c r="S23" s="8">
        <v>1</v>
      </c>
      <c r="T23" s="8">
        <v>0</v>
      </c>
      <c r="U23" s="8">
        <v>1</v>
      </c>
      <c r="V23" s="8">
        <v>1</v>
      </c>
      <c r="W23" s="8">
        <v>1</v>
      </c>
      <c r="X23" s="8">
        <v>1</v>
      </c>
      <c r="Y23" s="8">
        <v>1</v>
      </c>
      <c r="Z23" s="8">
        <v>1</v>
      </c>
      <c r="AA23" s="8">
        <v>1</v>
      </c>
      <c r="AB23" s="8">
        <v>1</v>
      </c>
      <c r="AC23" s="8">
        <v>0</v>
      </c>
      <c r="AD23" s="8">
        <v>0</v>
      </c>
      <c r="AE23" s="8">
        <v>1</v>
      </c>
      <c r="AF23" s="8">
        <v>0</v>
      </c>
      <c r="AG23" s="8">
        <v>0</v>
      </c>
      <c r="AH23" s="8">
        <v>0</v>
      </c>
      <c r="AI23" s="8">
        <v>1</v>
      </c>
      <c r="AJ23" s="8">
        <v>1</v>
      </c>
      <c r="AK23" s="8">
        <v>1</v>
      </c>
      <c r="AL23" s="8">
        <v>1</v>
      </c>
      <c r="AM23" s="8">
        <v>0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0</v>
      </c>
      <c r="AW23" s="8">
        <v>0</v>
      </c>
      <c r="AX23" s="8">
        <v>1</v>
      </c>
      <c r="AY23" s="8">
        <v>0</v>
      </c>
      <c r="AZ23" s="8">
        <v>0</v>
      </c>
      <c r="BA23" s="8">
        <v>0</v>
      </c>
      <c r="BB23" s="8">
        <v>1</v>
      </c>
      <c r="BC23" s="8">
        <v>1</v>
      </c>
      <c r="BD23" s="8">
        <v>1</v>
      </c>
      <c r="BE23" s="8">
        <v>1</v>
      </c>
      <c r="BF23" s="8">
        <v>0</v>
      </c>
      <c r="BG23" s="8">
        <v>1</v>
      </c>
      <c r="BH23" s="8">
        <v>1</v>
      </c>
      <c r="BI23" s="8">
        <v>0</v>
      </c>
      <c r="BJ23" s="8">
        <v>0</v>
      </c>
      <c r="BK23" s="8">
        <v>1</v>
      </c>
      <c r="BL23" s="8">
        <v>0</v>
      </c>
      <c r="BM23" s="8">
        <v>0</v>
      </c>
      <c r="BN23" s="8">
        <v>1</v>
      </c>
      <c r="BO23" s="8">
        <v>1</v>
      </c>
      <c r="BP23" s="8">
        <v>0</v>
      </c>
      <c r="BQ23" s="8">
        <v>1</v>
      </c>
      <c r="BR23" s="8">
        <v>0</v>
      </c>
      <c r="BS23" s="8">
        <v>1</v>
      </c>
      <c r="BT23" s="8">
        <v>0</v>
      </c>
      <c r="BU23" s="8">
        <v>0</v>
      </c>
      <c r="BV23" s="8">
        <v>1</v>
      </c>
      <c r="BW23" s="8">
        <v>1</v>
      </c>
      <c r="BX23" s="8">
        <v>0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1</v>
      </c>
      <c r="CF23" s="8">
        <v>1</v>
      </c>
      <c r="CG23" s="9">
        <f t="shared" si="0"/>
        <v>0.67073170731707321</v>
      </c>
    </row>
    <row r="24" spans="1:85" ht="15.75" customHeight="1">
      <c r="A24" s="6" t="s">
        <v>209</v>
      </c>
      <c r="B24" s="7" t="s">
        <v>210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1</v>
      </c>
      <c r="K24" s="8">
        <v>1</v>
      </c>
      <c r="L24" s="8">
        <v>0</v>
      </c>
      <c r="M24" s="8">
        <v>1</v>
      </c>
      <c r="N24" s="8">
        <v>0</v>
      </c>
      <c r="O24" s="8">
        <v>1</v>
      </c>
      <c r="P24" s="8">
        <v>1</v>
      </c>
      <c r="Q24" s="8">
        <v>1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1</v>
      </c>
      <c r="X24" s="8">
        <v>0</v>
      </c>
      <c r="Y24" s="8">
        <v>0</v>
      </c>
      <c r="Z24" s="8">
        <v>1</v>
      </c>
      <c r="AA24" s="8">
        <v>0</v>
      </c>
      <c r="AB24" s="8">
        <v>1</v>
      </c>
      <c r="AC24" s="8">
        <v>1</v>
      </c>
      <c r="AD24" s="8">
        <v>1</v>
      </c>
      <c r="AE24" s="8">
        <v>0</v>
      </c>
      <c r="AF24" s="8">
        <v>1</v>
      </c>
      <c r="AG24" s="8">
        <v>0</v>
      </c>
      <c r="AH24" s="8">
        <v>1</v>
      </c>
      <c r="AI24" s="8">
        <v>1</v>
      </c>
      <c r="AJ24" s="8">
        <v>1</v>
      </c>
      <c r="AK24" s="8">
        <v>0</v>
      </c>
      <c r="AL24" s="8">
        <v>0</v>
      </c>
      <c r="AM24" s="8">
        <v>1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1</v>
      </c>
      <c r="AV24" s="8">
        <v>1</v>
      </c>
      <c r="AW24" s="8">
        <v>1</v>
      </c>
      <c r="AX24" s="8">
        <v>0</v>
      </c>
      <c r="AY24" s="8">
        <v>1</v>
      </c>
      <c r="AZ24" s="8">
        <v>0</v>
      </c>
      <c r="BA24" s="8">
        <v>1</v>
      </c>
      <c r="BB24" s="8">
        <v>1</v>
      </c>
      <c r="BC24" s="8">
        <v>1</v>
      </c>
      <c r="BD24" s="8">
        <v>0</v>
      </c>
      <c r="BE24" s="8">
        <v>0</v>
      </c>
      <c r="BF24" s="8">
        <v>1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1</v>
      </c>
      <c r="BN24" s="8">
        <v>0</v>
      </c>
      <c r="BO24" s="8">
        <v>1</v>
      </c>
      <c r="BP24" s="8">
        <v>1</v>
      </c>
      <c r="BQ24" s="8">
        <v>0</v>
      </c>
      <c r="BR24" s="8">
        <v>0</v>
      </c>
      <c r="BS24" s="8">
        <v>0</v>
      </c>
      <c r="BT24" s="8">
        <v>0</v>
      </c>
      <c r="BU24" s="8">
        <v>1</v>
      </c>
      <c r="BV24" s="8">
        <v>0</v>
      </c>
      <c r="BW24" s="8">
        <v>1</v>
      </c>
      <c r="BX24" s="8">
        <v>1</v>
      </c>
      <c r="BY24" s="8">
        <v>0</v>
      </c>
      <c r="BZ24" s="8">
        <v>0</v>
      </c>
      <c r="CA24" s="8">
        <v>0</v>
      </c>
      <c r="CB24" s="8">
        <v>1</v>
      </c>
      <c r="CC24" s="8">
        <v>0</v>
      </c>
      <c r="CD24" s="8">
        <v>0</v>
      </c>
      <c r="CE24" s="8">
        <v>0</v>
      </c>
      <c r="CF24" s="8">
        <v>1</v>
      </c>
      <c r="CG24" s="9">
        <f t="shared" si="0"/>
        <v>0.41463414634146339</v>
      </c>
    </row>
    <row r="25" spans="1:85" ht="15.75" customHeight="1">
      <c r="A25" s="6" t="s">
        <v>211</v>
      </c>
      <c r="B25" s="7" t="s">
        <v>212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1</v>
      </c>
      <c r="I25" s="8">
        <v>1</v>
      </c>
      <c r="J25" s="8">
        <v>0</v>
      </c>
      <c r="K25" s="8">
        <v>1</v>
      </c>
      <c r="L25" s="8">
        <v>0</v>
      </c>
      <c r="M25" s="8">
        <v>0</v>
      </c>
      <c r="N25" s="8">
        <v>1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1</v>
      </c>
      <c r="AB25" s="8">
        <v>1</v>
      </c>
      <c r="AC25" s="8">
        <v>0</v>
      </c>
      <c r="AD25" s="8">
        <v>1</v>
      </c>
      <c r="AE25" s="8">
        <v>0</v>
      </c>
      <c r="AF25" s="8">
        <v>0</v>
      </c>
      <c r="AG25" s="8">
        <v>1</v>
      </c>
      <c r="AH25" s="8">
        <v>0</v>
      </c>
      <c r="AI25" s="8">
        <v>1</v>
      </c>
      <c r="AJ25" s="8">
        <v>0</v>
      </c>
      <c r="AK25" s="8">
        <v>0</v>
      </c>
      <c r="AL25" s="8">
        <v>0</v>
      </c>
      <c r="AM25" s="8">
        <v>1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1</v>
      </c>
      <c r="AU25" s="8">
        <v>1</v>
      </c>
      <c r="AV25" s="8">
        <v>0</v>
      </c>
      <c r="AW25" s="8">
        <v>1</v>
      </c>
      <c r="AX25" s="8">
        <v>0</v>
      </c>
      <c r="AY25" s="8">
        <v>0</v>
      </c>
      <c r="AZ25" s="8">
        <v>1</v>
      </c>
      <c r="BA25" s="8">
        <v>0</v>
      </c>
      <c r="BB25" s="8">
        <v>1</v>
      </c>
      <c r="BC25" s="8">
        <v>0</v>
      </c>
      <c r="BD25" s="8">
        <v>0</v>
      </c>
      <c r="BE25" s="8">
        <v>0</v>
      </c>
      <c r="BF25" s="8">
        <v>1</v>
      </c>
      <c r="BG25" s="8">
        <v>0</v>
      </c>
      <c r="BH25" s="8">
        <v>1</v>
      </c>
      <c r="BI25" s="8">
        <v>1</v>
      </c>
      <c r="BJ25" s="8">
        <v>1</v>
      </c>
      <c r="BK25" s="8">
        <v>0</v>
      </c>
      <c r="BL25" s="8">
        <v>1</v>
      </c>
      <c r="BM25" s="8">
        <v>1</v>
      </c>
      <c r="BN25" s="8">
        <v>0</v>
      </c>
      <c r="BO25" s="8">
        <v>1</v>
      </c>
      <c r="BP25" s="8">
        <v>1</v>
      </c>
      <c r="BQ25" s="8">
        <v>1</v>
      </c>
      <c r="BR25" s="8">
        <v>1</v>
      </c>
      <c r="BS25" s="8">
        <v>0</v>
      </c>
      <c r="BT25" s="8">
        <v>1</v>
      </c>
      <c r="BU25" s="8">
        <v>1</v>
      </c>
      <c r="BV25" s="8">
        <v>0</v>
      </c>
      <c r="BW25" s="8">
        <v>1</v>
      </c>
      <c r="BX25" s="8">
        <v>1</v>
      </c>
      <c r="BY25" s="8">
        <v>1</v>
      </c>
      <c r="BZ25" s="8">
        <v>0</v>
      </c>
      <c r="CA25" s="8">
        <v>1</v>
      </c>
      <c r="CB25" s="8">
        <v>0</v>
      </c>
      <c r="CC25" s="8">
        <v>1</v>
      </c>
      <c r="CD25" s="8">
        <v>0</v>
      </c>
      <c r="CE25" s="8">
        <v>1</v>
      </c>
      <c r="CF25" s="8">
        <v>1</v>
      </c>
      <c r="CG25" s="9">
        <f t="shared" si="0"/>
        <v>0.45121951219512196</v>
      </c>
    </row>
    <row r="26" spans="1:85" ht="15.75" customHeight="1">
      <c r="A26" s="6" t="s">
        <v>213</v>
      </c>
      <c r="B26" s="7" t="s">
        <v>214</v>
      </c>
      <c r="C26" s="8">
        <v>0</v>
      </c>
      <c r="D26" s="8">
        <v>1</v>
      </c>
      <c r="E26" s="8">
        <v>0</v>
      </c>
      <c r="F26" s="8">
        <v>1</v>
      </c>
      <c r="G26" s="8">
        <v>0</v>
      </c>
      <c r="H26" s="8">
        <v>1</v>
      </c>
      <c r="I26" s="8">
        <v>1</v>
      </c>
      <c r="J26" s="8">
        <v>1</v>
      </c>
      <c r="K26" s="8">
        <v>1</v>
      </c>
      <c r="L26" s="8">
        <v>0</v>
      </c>
      <c r="M26" s="8">
        <v>1</v>
      </c>
      <c r="N26" s="8">
        <v>0</v>
      </c>
      <c r="O26" s="8">
        <v>1</v>
      </c>
      <c r="P26" s="8">
        <v>0</v>
      </c>
      <c r="Q26" s="8">
        <v>1</v>
      </c>
      <c r="R26" s="8">
        <v>1</v>
      </c>
      <c r="S26" s="8">
        <v>0</v>
      </c>
      <c r="T26" s="8">
        <v>1</v>
      </c>
      <c r="U26" s="8">
        <v>0</v>
      </c>
      <c r="V26" s="8">
        <v>1</v>
      </c>
      <c r="W26" s="8">
        <v>0</v>
      </c>
      <c r="X26" s="8">
        <v>1</v>
      </c>
      <c r="Y26" s="8">
        <v>0</v>
      </c>
      <c r="Z26" s="8">
        <v>0</v>
      </c>
      <c r="AA26" s="8">
        <v>0</v>
      </c>
      <c r="AB26" s="8">
        <v>1</v>
      </c>
      <c r="AC26" s="8">
        <v>1</v>
      </c>
      <c r="AD26" s="8">
        <v>1</v>
      </c>
      <c r="AE26" s="8">
        <v>0</v>
      </c>
      <c r="AF26" s="8">
        <v>1</v>
      </c>
      <c r="AG26" s="8">
        <v>0</v>
      </c>
      <c r="AH26" s="8">
        <v>1</v>
      </c>
      <c r="AI26" s="8">
        <v>0</v>
      </c>
      <c r="AJ26" s="8">
        <v>1</v>
      </c>
      <c r="AK26" s="8">
        <v>0</v>
      </c>
      <c r="AL26" s="8">
        <v>1</v>
      </c>
      <c r="AM26" s="8">
        <v>0</v>
      </c>
      <c r="AN26" s="8">
        <v>0</v>
      </c>
      <c r="AO26" s="8">
        <v>1</v>
      </c>
      <c r="AP26" s="8">
        <v>0</v>
      </c>
      <c r="AQ26" s="8">
        <v>0</v>
      </c>
      <c r="AR26" s="8">
        <v>1</v>
      </c>
      <c r="AS26" s="8">
        <v>0</v>
      </c>
      <c r="AT26" s="8">
        <v>1</v>
      </c>
      <c r="AU26" s="8">
        <v>1</v>
      </c>
      <c r="AV26" s="8">
        <v>1</v>
      </c>
      <c r="AW26" s="8">
        <v>1</v>
      </c>
      <c r="AX26" s="8">
        <v>0</v>
      </c>
      <c r="AY26" s="8">
        <v>1</v>
      </c>
      <c r="AZ26" s="8">
        <v>0</v>
      </c>
      <c r="BA26" s="8">
        <v>1</v>
      </c>
      <c r="BB26" s="8">
        <v>0</v>
      </c>
      <c r="BC26" s="8">
        <v>1</v>
      </c>
      <c r="BD26" s="8">
        <v>1</v>
      </c>
      <c r="BE26" s="8">
        <v>0</v>
      </c>
      <c r="BF26" s="8">
        <v>1</v>
      </c>
      <c r="BG26" s="8">
        <v>0</v>
      </c>
      <c r="BH26" s="8">
        <v>1</v>
      </c>
      <c r="BI26" s="8">
        <v>1</v>
      </c>
      <c r="BJ26" s="8">
        <v>0</v>
      </c>
      <c r="BK26" s="8">
        <v>0</v>
      </c>
      <c r="BL26" s="8">
        <v>1</v>
      </c>
      <c r="BM26" s="8">
        <v>1</v>
      </c>
      <c r="BN26" s="8">
        <v>1</v>
      </c>
      <c r="BO26" s="8">
        <v>0</v>
      </c>
      <c r="BP26" s="8">
        <v>1</v>
      </c>
      <c r="BQ26" s="8">
        <v>1</v>
      </c>
      <c r="BR26" s="8">
        <v>0</v>
      </c>
      <c r="BS26" s="8">
        <v>0</v>
      </c>
      <c r="BT26" s="8">
        <v>1</v>
      </c>
      <c r="BU26" s="8">
        <v>1</v>
      </c>
      <c r="BV26" s="8">
        <v>1</v>
      </c>
      <c r="BW26" s="8">
        <v>0</v>
      </c>
      <c r="BX26" s="8">
        <v>1</v>
      </c>
      <c r="BY26" s="8">
        <v>1</v>
      </c>
      <c r="BZ26" s="8">
        <v>0</v>
      </c>
      <c r="CA26" s="8">
        <v>1</v>
      </c>
      <c r="CB26" s="8">
        <v>0</v>
      </c>
      <c r="CC26" s="8">
        <v>1</v>
      </c>
      <c r="CD26" s="8">
        <v>1</v>
      </c>
      <c r="CE26" s="8">
        <v>0</v>
      </c>
      <c r="CF26" s="8">
        <v>1</v>
      </c>
      <c r="CG26" s="9">
        <f t="shared" si="0"/>
        <v>0.57317073170731703</v>
      </c>
    </row>
    <row r="27" spans="1:85" ht="15.75" customHeight="1">
      <c r="A27" s="6" t="s">
        <v>215</v>
      </c>
      <c r="B27" s="7" t="s">
        <v>216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0</v>
      </c>
      <c r="I27" s="8">
        <v>1</v>
      </c>
      <c r="J27" s="8">
        <v>1</v>
      </c>
      <c r="K27" s="8">
        <v>1</v>
      </c>
      <c r="L27" s="8">
        <v>1</v>
      </c>
      <c r="M27" s="8">
        <v>0</v>
      </c>
      <c r="N27" s="8">
        <v>1</v>
      </c>
      <c r="O27" s="8">
        <v>1</v>
      </c>
      <c r="P27" s="8">
        <v>0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0</v>
      </c>
      <c r="AB27" s="8">
        <v>1</v>
      </c>
      <c r="AC27" s="8">
        <v>0</v>
      </c>
      <c r="AD27" s="8">
        <v>1</v>
      </c>
      <c r="AE27" s="8">
        <v>1</v>
      </c>
      <c r="AF27" s="8">
        <v>0</v>
      </c>
      <c r="AG27" s="8">
        <v>1</v>
      </c>
      <c r="AH27" s="8">
        <v>1</v>
      </c>
      <c r="AI27" s="8">
        <v>1</v>
      </c>
      <c r="AJ27" s="8">
        <v>0</v>
      </c>
      <c r="AK27" s="8">
        <v>1</v>
      </c>
      <c r="AL27" s="8">
        <v>1</v>
      </c>
      <c r="AM27" s="8">
        <v>1</v>
      </c>
      <c r="AN27" s="8">
        <v>1</v>
      </c>
      <c r="AO27" s="8">
        <v>1</v>
      </c>
      <c r="AP27" s="8">
        <v>1</v>
      </c>
      <c r="AQ27" s="8">
        <v>1</v>
      </c>
      <c r="AR27" s="8">
        <v>1</v>
      </c>
      <c r="AS27" s="8">
        <v>1</v>
      </c>
      <c r="AT27" s="8">
        <v>0</v>
      </c>
      <c r="AU27" s="8">
        <v>0</v>
      </c>
      <c r="AV27" s="8">
        <v>0</v>
      </c>
      <c r="AW27" s="8">
        <v>1</v>
      </c>
      <c r="AX27" s="8">
        <v>1</v>
      </c>
      <c r="AY27" s="8">
        <v>0</v>
      </c>
      <c r="AZ27" s="8">
        <v>1</v>
      </c>
      <c r="BA27" s="8">
        <v>1</v>
      </c>
      <c r="BB27" s="8">
        <v>0</v>
      </c>
      <c r="BC27" s="8">
        <v>1</v>
      </c>
      <c r="BD27" s="8">
        <v>1</v>
      </c>
      <c r="BE27" s="8">
        <v>1</v>
      </c>
      <c r="BF27" s="8">
        <v>1</v>
      </c>
      <c r="BG27" s="8">
        <v>1</v>
      </c>
      <c r="BH27" s="8">
        <v>1</v>
      </c>
      <c r="BI27" s="8">
        <v>1</v>
      </c>
      <c r="BJ27" s="8">
        <v>1</v>
      </c>
      <c r="BK27" s="8">
        <v>1</v>
      </c>
      <c r="BL27" s="8">
        <v>1</v>
      </c>
      <c r="BM27" s="8">
        <v>1</v>
      </c>
      <c r="BN27" s="8">
        <v>0</v>
      </c>
      <c r="BO27" s="8">
        <v>1</v>
      </c>
      <c r="BP27" s="8">
        <v>0</v>
      </c>
      <c r="BQ27" s="8">
        <v>1</v>
      </c>
      <c r="BR27" s="8">
        <v>1</v>
      </c>
      <c r="BS27" s="8">
        <v>1</v>
      </c>
      <c r="BT27" s="8">
        <v>1</v>
      </c>
      <c r="BU27" s="8">
        <v>0</v>
      </c>
      <c r="BV27" s="8">
        <v>1</v>
      </c>
      <c r="BW27" s="8">
        <v>1</v>
      </c>
      <c r="BX27" s="8">
        <v>0</v>
      </c>
      <c r="BY27" s="8">
        <v>1</v>
      </c>
      <c r="BZ27" s="8">
        <v>1</v>
      </c>
      <c r="CA27" s="8">
        <v>0</v>
      </c>
      <c r="CB27" s="8">
        <v>1</v>
      </c>
      <c r="CC27" s="8">
        <v>1</v>
      </c>
      <c r="CD27" s="8">
        <v>1</v>
      </c>
      <c r="CE27" s="8">
        <v>1</v>
      </c>
      <c r="CF27" s="8">
        <v>0</v>
      </c>
      <c r="CG27" s="9">
        <f t="shared" si="0"/>
        <v>0.78048780487804881</v>
      </c>
    </row>
    <row r="28" spans="1:85" ht="15.75" customHeight="1">
      <c r="A28" s="6" t="s">
        <v>217</v>
      </c>
      <c r="B28" s="7" t="s">
        <v>218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</v>
      </c>
      <c r="S28" s="8">
        <v>0</v>
      </c>
      <c r="T28" s="8">
        <v>0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0</v>
      </c>
      <c r="AB28" s="8">
        <v>0</v>
      </c>
      <c r="AC28" s="8">
        <v>1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0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0</v>
      </c>
      <c r="AU28" s="8">
        <v>0</v>
      </c>
      <c r="AV28" s="8">
        <v>1</v>
      </c>
      <c r="AW28" s="8">
        <v>0</v>
      </c>
      <c r="AX28" s="8">
        <v>1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1</v>
      </c>
      <c r="BE28" s="8">
        <v>0</v>
      </c>
      <c r="BF28" s="8">
        <v>0</v>
      </c>
      <c r="BG28" s="8">
        <v>1</v>
      </c>
      <c r="BH28" s="8">
        <v>1</v>
      </c>
      <c r="BI28" s="8">
        <v>0</v>
      </c>
      <c r="BJ28" s="8">
        <v>0</v>
      </c>
      <c r="BK28" s="8">
        <v>0</v>
      </c>
      <c r="BL28" s="8">
        <v>0</v>
      </c>
      <c r="BM28" s="8">
        <v>1</v>
      </c>
      <c r="BN28" s="8">
        <v>1</v>
      </c>
      <c r="BO28" s="8">
        <v>1</v>
      </c>
      <c r="BP28" s="8">
        <v>1</v>
      </c>
      <c r="BQ28" s="8">
        <v>1</v>
      </c>
      <c r="BR28" s="8">
        <v>0</v>
      </c>
      <c r="BS28" s="8">
        <v>0</v>
      </c>
      <c r="BT28" s="8">
        <v>0</v>
      </c>
      <c r="BU28" s="8">
        <v>1</v>
      </c>
      <c r="BV28" s="8">
        <v>1</v>
      </c>
      <c r="BW28" s="8">
        <v>1</v>
      </c>
      <c r="BX28" s="8">
        <v>1</v>
      </c>
      <c r="BY28" s="8">
        <v>1</v>
      </c>
      <c r="BZ28" s="8">
        <v>1</v>
      </c>
      <c r="CA28" s="8">
        <v>0</v>
      </c>
      <c r="CB28" s="8">
        <v>1</v>
      </c>
      <c r="CC28" s="8">
        <v>1</v>
      </c>
      <c r="CD28" s="8">
        <v>1</v>
      </c>
      <c r="CE28" s="8">
        <v>0</v>
      </c>
      <c r="CF28" s="8">
        <v>0</v>
      </c>
      <c r="CG28" s="9">
        <f t="shared" si="0"/>
        <v>0.51219512195121952</v>
      </c>
    </row>
    <row r="29" spans="1:85" ht="15.75" customHeight="1">
      <c r="A29" s="6" t="s">
        <v>219</v>
      </c>
      <c r="B29" s="7" t="s">
        <v>220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1</v>
      </c>
      <c r="L29" s="8">
        <v>0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8">
        <v>1</v>
      </c>
      <c r="AG29" s="8">
        <v>1</v>
      </c>
      <c r="AH29" s="8">
        <v>1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1</v>
      </c>
      <c r="AX29" s="8">
        <v>0</v>
      </c>
      <c r="AY29" s="8">
        <v>1</v>
      </c>
      <c r="AZ29" s="8">
        <v>1</v>
      </c>
      <c r="BA29" s="8">
        <v>1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1</v>
      </c>
      <c r="BJ29" s="8">
        <v>1</v>
      </c>
      <c r="BK29" s="8">
        <v>1</v>
      </c>
      <c r="BL29" s="8">
        <v>0</v>
      </c>
      <c r="BM29" s="8">
        <v>0</v>
      </c>
      <c r="BN29" s="8">
        <v>0</v>
      </c>
      <c r="BO29" s="8">
        <v>1</v>
      </c>
      <c r="BP29" s="8">
        <v>1</v>
      </c>
      <c r="BQ29" s="8">
        <v>0</v>
      </c>
      <c r="BR29" s="8">
        <v>1</v>
      </c>
      <c r="BS29" s="8">
        <v>1</v>
      </c>
      <c r="BT29" s="8">
        <v>0</v>
      </c>
      <c r="BU29" s="8">
        <v>0</v>
      </c>
      <c r="BV29" s="8">
        <v>0</v>
      </c>
      <c r="BW29" s="8">
        <v>1</v>
      </c>
      <c r="BX29" s="8">
        <v>1</v>
      </c>
      <c r="BY29" s="8">
        <v>0</v>
      </c>
      <c r="BZ29" s="8">
        <v>0</v>
      </c>
      <c r="CA29" s="8">
        <v>1</v>
      </c>
      <c r="CB29" s="8">
        <v>0</v>
      </c>
      <c r="CC29" s="8">
        <v>1</v>
      </c>
      <c r="CD29" s="8">
        <v>1</v>
      </c>
      <c r="CE29" s="8">
        <v>0</v>
      </c>
      <c r="CF29" s="8">
        <v>0</v>
      </c>
      <c r="CG29" s="9">
        <f t="shared" si="0"/>
        <v>0.29268292682926828</v>
      </c>
    </row>
    <row r="30" spans="1:85" ht="15.75" customHeight="1">
      <c r="A30" s="11"/>
      <c r="B30" s="10" t="s">
        <v>82</v>
      </c>
      <c r="C30" s="9">
        <f t="shared" ref="C30:CF30" si="1">SUM(C3:C29)/27</f>
        <v>0.70370370370370372</v>
      </c>
      <c r="D30" s="9">
        <f t="shared" si="1"/>
        <v>0.62962962962962965</v>
      </c>
      <c r="E30" s="9">
        <f t="shared" si="1"/>
        <v>0.70370370370370372</v>
      </c>
      <c r="F30" s="9">
        <f t="shared" si="1"/>
        <v>0.66666666666666663</v>
      </c>
      <c r="G30" s="9">
        <f t="shared" si="1"/>
        <v>0.66666666666666663</v>
      </c>
      <c r="H30" s="9">
        <f t="shared" si="1"/>
        <v>0.48148148148148145</v>
      </c>
      <c r="I30" s="9">
        <f t="shared" si="1"/>
        <v>0.44444444444444442</v>
      </c>
      <c r="J30" s="9">
        <f t="shared" si="1"/>
        <v>0.48148148148148145</v>
      </c>
      <c r="K30" s="9">
        <f t="shared" si="1"/>
        <v>0.40740740740740738</v>
      </c>
      <c r="L30" s="9">
        <f t="shared" si="1"/>
        <v>0.62962962962962965</v>
      </c>
      <c r="M30" s="9">
        <f t="shared" si="1"/>
        <v>0.44444444444444442</v>
      </c>
      <c r="N30" s="9">
        <f t="shared" si="1"/>
        <v>0.55555555555555558</v>
      </c>
      <c r="O30" s="9">
        <f t="shared" si="1"/>
        <v>0.59259259259259256</v>
      </c>
      <c r="P30" s="9">
        <f t="shared" si="1"/>
        <v>0.25925925925925924</v>
      </c>
      <c r="Q30" s="9">
        <f t="shared" si="1"/>
        <v>0.51851851851851849</v>
      </c>
      <c r="R30" s="9">
        <f t="shared" si="1"/>
        <v>0.70370370370370372</v>
      </c>
      <c r="S30" s="9">
        <f t="shared" si="1"/>
        <v>0.44444444444444442</v>
      </c>
      <c r="T30" s="9">
        <f t="shared" si="1"/>
        <v>0.51851851851851849</v>
      </c>
      <c r="U30" s="9">
        <f t="shared" si="1"/>
        <v>0.70370370370370372</v>
      </c>
      <c r="V30" s="9">
        <f t="shared" si="1"/>
        <v>0.7407407407407407</v>
      </c>
      <c r="W30" s="9">
        <f t="shared" si="1"/>
        <v>0.7407407407407407</v>
      </c>
      <c r="X30" s="9">
        <f t="shared" si="1"/>
        <v>0.66666666666666663</v>
      </c>
      <c r="Y30" s="9">
        <f t="shared" si="1"/>
        <v>0.70370370370370372</v>
      </c>
      <c r="Z30" s="9">
        <f t="shared" si="1"/>
        <v>0.70370370370370372</v>
      </c>
      <c r="AA30" s="9">
        <f t="shared" si="1"/>
        <v>0.40740740740740738</v>
      </c>
      <c r="AB30" s="9">
        <f t="shared" si="1"/>
        <v>0.48148148148148145</v>
      </c>
      <c r="AC30" s="9">
        <f t="shared" si="1"/>
        <v>0.44444444444444442</v>
      </c>
      <c r="AD30" s="9">
        <f t="shared" si="1"/>
        <v>0.48148148148148145</v>
      </c>
      <c r="AE30" s="9">
        <f t="shared" si="1"/>
        <v>0.70370370370370372</v>
      </c>
      <c r="AF30" s="9">
        <f t="shared" si="1"/>
        <v>0.44444444444444442</v>
      </c>
      <c r="AG30" s="9">
        <f t="shared" si="1"/>
        <v>0.48148148148148145</v>
      </c>
      <c r="AH30" s="9">
        <f t="shared" si="1"/>
        <v>0.59259259259259256</v>
      </c>
      <c r="AI30" s="9">
        <f t="shared" si="1"/>
        <v>0.37037037037037035</v>
      </c>
      <c r="AJ30" s="9">
        <f t="shared" si="1"/>
        <v>0.48148148148148145</v>
      </c>
      <c r="AK30" s="9">
        <f t="shared" si="1"/>
        <v>0.70370370370370372</v>
      </c>
      <c r="AL30" s="9">
        <f t="shared" si="1"/>
        <v>0.51851851851851849</v>
      </c>
      <c r="AM30" s="9">
        <f t="shared" si="1"/>
        <v>0.48148148148148145</v>
      </c>
      <c r="AN30" s="9">
        <f t="shared" si="1"/>
        <v>0.70370370370370372</v>
      </c>
      <c r="AO30" s="9">
        <f t="shared" si="1"/>
        <v>0.70370370370370372</v>
      </c>
      <c r="AP30" s="9">
        <f t="shared" si="1"/>
        <v>0.66666666666666663</v>
      </c>
      <c r="AQ30" s="9">
        <f t="shared" si="1"/>
        <v>0.7407407407407407</v>
      </c>
      <c r="AR30" s="9">
        <f t="shared" si="1"/>
        <v>0.7407407407407407</v>
      </c>
      <c r="AS30" s="9">
        <f t="shared" si="1"/>
        <v>0.70370370370370372</v>
      </c>
      <c r="AT30" s="9">
        <f t="shared" si="1"/>
        <v>0.51851851851851849</v>
      </c>
      <c r="AU30" s="9">
        <f t="shared" si="1"/>
        <v>0.44444444444444442</v>
      </c>
      <c r="AV30" s="9">
        <f t="shared" si="1"/>
        <v>0.44444444444444442</v>
      </c>
      <c r="AW30" s="9">
        <f t="shared" si="1"/>
        <v>0.44444444444444442</v>
      </c>
      <c r="AX30" s="9">
        <f t="shared" si="1"/>
        <v>0.70370370370370372</v>
      </c>
      <c r="AY30" s="9">
        <f t="shared" si="1"/>
        <v>0.44444444444444442</v>
      </c>
      <c r="AZ30" s="9">
        <f t="shared" si="1"/>
        <v>0.51851851851851849</v>
      </c>
      <c r="BA30" s="9">
        <f t="shared" si="1"/>
        <v>0.59259259259259256</v>
      </c>
      <c r="BB30" s="9">
        <f t="shared" si="1"/>
        <v>0.29629629629629628</v>
      </c>
      <c r="BC30" s="9">
        <f t="shared" si="1"/>
        <v>0.51851851851851849</v>
      </c>
      <c r="BD30" s="9">
        <f t="shared" si="1"/>
        <v>0.7407407407407407</v>
      </c>
      <c r="BE30" s="9">
        <f t="shared" si="1"/>
        <v>0.51851851851851849</v>
      </c>
      <c r="BF30" s="9">
        <f t="shared" si="1"/>
        <v>0.51851851851851849</v>
      </c>
      <c r="BG30" s="9">
        <f t="shared" si="1"/>
        <v>0.70370370370370372</v>
      </c>
      <c r="BH30" s="9">
        <f t="shared" si="1"/>
        <v>0.59259259259259256</v>
      </c>
      <c r="BI30" s="9">
        <f t="shared" si="1"/>
        <v>0.55555555555555558</v>
      </c>
      <c r="BJ30" s="9">
        <f t="shared" si="1"/>
        <v>0.37037037037037035</v>
      </c>
      <c r="BK30" s="9">
        <f t="shared" si="1"/>
        <v>0.51851851851851849</v>
      </c>
      <c r="BL30" s="9">
        <f t="shared" si="1"/>
        <v>0.44444444444444442</v>
      </c>
      <c r="BM30" s="9">
        <f t="shared" si="1"/>
        <v>0.62962962962962965</v>
      </c>
      <c r="BN30" s="9">
        <f t="shared" si="1"/>
        <v>0.40740740740740738</v>
      </c>
      <c r="BO30" s="9">
        <f t="shared" si="1"/>
        <v>0.66666666666666663</v>
      </c>
      <c r="BP30" s="9">
        <f t="shared" si="1"/>
        <v>0.51851851851851849</v>
      </c>
      <c r="BQ30" s="9">
        <f t="shared" si="1"/>
        <v>0.59259259259259256</v>
      </c>
      <c r="BR30" s="9">
        <f t="shared" si="1"/>
        <v>0.37037037037037035</v>
      </c>
      <c r="BS30" s="9">
        <f t="shared" si="1"/>
        <v>0.48148148148148145</v>
      </c>
      <c r="BT30" s="9">
        <f t="shared" si="1"/>
        <v>0.44444444444444442</v>
      </c>
      <c r="BU30" s="9">
        <f t="shared" si="1"/>
        <v>0.62962962962962965</v>
      </c>
      <c r="BV30" s="9">
        <f t="shared" si="1"/>
        <v>0.48148148148148145</v>
      </c>
      <c r="BW30" s="9">
        <f t="shared" si="1"/>
        <v>0.66666666666666663</v>
      </c>
      <c r="BX30" s="9">
        <f t="shared" si="1"/>
        <v>0.55555555555555558</v>
      </c>
      <c r="BY30" s="9">
        <f t="shared" si="1"/>
        <v>0.59259259259259256</v>
      </c>
      <c r="BZ30" s="9">
        <f t="shared" si="1"/>
        <v>0.37037037037037035</v>
      </c>
      <c r="CA30" s="9">
        <f t="shared" si="1"/>
        <v>0.51851851851851849</v>
      </c>
      <c r="CB30" s="9">
        <f t="shared" si="1"/>
        <v>0.33333333333333331</v>
      </c>
      <c r="CC30" s="9">
        <f t="shared" si="1"/>
        <v>0.59259259259259256</v>
      </c>
      <c r="CD30" s="9">
        <f t="shared" si="1"/>
        <v>0.48148148148148145</v>
      </c>
      <c r="CE30" s="9">
        <f t="shared" si="1"/>
        <v>0.51851851851851849</v>
      </c>
      <c r="CF30" s="9">
        <f t="shared" si="1"/>
        <v>0.44444444444444442</v>
      </c>
      <c r="CG30" s="9">
        <f t="shared" si="0"/>
        <v>0.55058717253839207</v>
      </c>
    </row>
    <row r="31" spans="1:85" ht="15.75" customHeight="1">
      <c r="A31" s="11"/>
      <c r="CG31" s="8"/>
    </row>
    <row r="32" spans="1:85" ht="15.75" customHeight="1">
      <c r="A32" s="11"/>
      <c r="CG32" s="12"/>
    </row>
    <row r="33" spans="1:85" ht="15.75" customHeight="1">
      <c r="A33" s="11"/>
      <c r="CG33" s="12"/>
    </row>
    <row r="34" spans="1:85" ht="15.75" customHeight="1">
      <c r="A34" s="11"/>
      <c r="CG34" s="12"/>
    </row>
    <row r="35" spans="1:85" ht="15.75" customHeight="1">
      <c r="A35" s="11"/>
      <c r="CG35" s="12"/>
    </row>
    <row r="36" spans="1:85" ht="15.75" customHeight="1">
      <c r="A36" s="11"/>
      <c r="CG36" s="12"/>
    </row>
    <row r="37" spans="1:85" ht="15.75" customHeight="1">
      <c r="A37" s="11"/>
      <c r="CG37" s="12"/>
    </row>
    <row r="38" spans="1:85" ht="15.75" customHeight="1">
      <c r="A38" s="11"/>
      <c r="CG38" s="12"/>
    </row>
    <row r="39" spans="1:85" ht="15.75" customHeight="1">
      <c r="A39" s="11"/>
      <c r="CG39" s="12"/>
    </row>
    <row r="40" spans="1:85" ht="15.75" customHeight="1">
      <c r="A40" s="11"/>
      <c r="CG40" s="12"/>
    </row>
    <row r="41" spans="1:85" ht="15.75" customHeight="1">
      <c r="A41" s="11"/>
      <c r="CG41" s="12"/>
    </row>
    <row r="42" spans="1:85" ht="15.75" customHeight="1">
      <c r="A42" s="11"/>
      <c r="CG42" s="12"/>
    </row>
    <row r="43" spans="1:85" ht="15.75" customHeight="1">
      <c r="A43" s="11"/>
      <c r="CG43" s="12"/>
    </row>
    <row r="44" spans="1:85" ht="15.75" customHeight="1">
      <c r="A44" s="11"/>
      <c r="CG44" s="12"/>
    </row>
    <row r="45" spans="1:85" ht="15.75" customHeight="1">
      <c r="A45" s="11"/>
      <c r="CG45" s="12"/>
    </row>
    <row r="46" spans="1:85" ht="15.75" customHeight="1">
      <c r="A46" s="11"/>
      <c r="CG46" s="12"/>
    </row>
    <row r="47" spans="1:85" ht="15.75" customHeight="1">
      <c r="A47" s="11"/>
      <c r="CG47" s="12"/>
    </row>
    <row r="48" spans="1:85" ht="15.75" customHeight="1">
      <c r="A48" s="11"/>
      <c r="CG48" s="12"/>
    </row>
    <row r="49" spans="1:85" ht="15.75" customHeight="1">
      <c r="A49" s="11"/>
      <c r="CG49" s="12"/>
    </row>
    <row r="50" spans="1:85" ht="15.75" customHeight="1">
      <c r="A50" s="11"/>
      <c r="CG50" s="12"/>
    </row>
    <row r="51" spans="1:85" ht="15.75" customHeight="1">
      <c r="A51" s="11"/>
      <c r="CG51" s="12"/>
    </row>
    <row r="52" spans="1:85" ht="15.75" customHeight="1">
      <c r="A52" s="11"/>
      <c r="CG52" s="12"/>
    </row>
    <row r="53" spans="1:85" ht="15.75" customHeight="1">
      <c r="A53" s="11"/>
      <c r="CG53" s="12"/>
    </row>
    <row r="54" spans="1:85" ht="15.75" customHeight="1">
      <c r="A54" s="11"/>
      <c r="CG54" s="12"/>
    </row>
    <row r="55" spans="1:85" ht="15.75" customHeight="1">
      <c r="A55" s="11"/>
      <c r="CG55" s="12"/>
    </row>
    <row r="56" spans="1:85" ht="15.75" customHeight="1">
      <c r="A56" s="11"/>
      <c r="CG56" s="12"/>
    </row>
    <row r="57" spans="1:85" ht="15.75" customHeight="1">
      <c r="A57" s="11"/>
      <c r="CG57" s="12"/>
    </row>
    <row r="58" spans="1:85" ht="15.75" customHeight="1">
      <c r="A58" s="11"/>
      <c r="CG58" s="12"/>
    </row>
    <row r="59" spans="1:85" ht="15.75" customHeight="1">
      <c r="A59" s="11"/>
      <c r="CG59" s="12"/>
    </row>
    <row r="60" spans="1:85" ht="15.75" customHeight="1">
      <c r="A60" s="11"/>
      <c r="CG60" s="12"/>
    </row>
    <row r="61" spans="1:85" ht="15.75" customHeight="1">
      <c r="A61" s="11"/>
      <c r="CG61" s="12"/>
    </row>
    <row r="62" spans="1:85" ht="15.75" customHeight="1">
      <c r="A62" s="11"/>
      <c r="CG62" s="12"/>
    </row>
    <row r="63" spans="1:85" ht="15.75" customHeight="1">
      <c r="A63" s="11"/>
      <c r="CG63" s="12"/>
    </row>
    <row r="64" spans="1:85" ht="15.75" customHeight="1">
      <c r="A64" s="11"/>
      <c r="CG64" s="12"/>
    </row>
    <row r="65" spans="1:85" ht="15.75" customHeight="1">
      <c r="A65" s="11"/>
      <c r="CG65" s="12"/>
    </row>
    <row r="66" spans="1:85" ht="15.75" customHeight="1">
      <c r="A66" s="11"/>
      <c r="CG66" s="12"/>
    </row>
    <row r="67" spans="1:85" ht="15.75" customHeight="1">
      <c r="A67" s="11"/>
      <c r="CG67" s="12"/>
    </row>
    <row r="68" spans="1:85" ht="15.75" customHeight="1">
      <c r="A68" s="11"/>
      <c r="CG68" s="12"/>
    </row>
    <row r="69" spans="1:85" ht="15.75" customHeight="1">
      <c r="A69" s="11"/>
      <c r="CG69" s="12"/>
    </row>
    <row r="70" spans="1:85" ht="15.75" customHeight="1">
      <c r="A70" s="11"/>
      <c r="CG70" s="12"/>
    </row>
    <row r="71" spans="1:85" ht="15.75" customHeight="1">
      <c r="A71" s="11"/>
      <c r="CG71" s="12"/>
    </row>
    <row r="72" spans="1:85" ht="15.75" customHeight="1">
      <c r="A72" s="11"/>
      <c r="CG72" s="12"/>
    </row>
    <row r="73" spans="1:85" ht="15.75" customHeight="1">
      <c r="A73" s="11"/>
      <c r="CG73" s="12"/>
    </row>
    <row r="74" spans="1:85" ht="15.75" customHeight="1">
      <c r="A74" s="11"/>
      <c r="CG74" s="12"/>
    </row>
    <row r="75" spans="1:85" ht="15.75" customHeight="1">
      <c r="A75" s="11"/>
      <c r="CG75" s="12"/>
    </row>
    <row r="76" spans="1:85" ht="15.75" customHeight="1">
      <c r="A76" s="11"/>
      <c r="CG76" s="12"/>
    </row>
    <row r="77" spans="1:85" ht="15.75" customHeight="1">
      <c r="A77" s="11"/>
      <c r="CG77" s="12"/>
    </row>
    <row r="78" spans="1:85" ht="15.75" customHeight="1">
      <c r="A78" s="11"/>
      <c r="CG78" s="12"/>
    </row>
    <row r="79" spans="1:85" ht="15.75" customHeight="1">
      <c r="A79" s="11"/>
      <c r="CG79" s="12"/>
    </row>
    <row r="80" spans="1:85" ht="15.75" customHeight="1">
      <c r="A80" s="11"/>
      <c r="CG80" s="12"/>
    </row>
    <row r="81" spans="1:85" ht="15.75" customHeight="1">
      <c r="A81" s="11"/>
      <c r="CG81" s="12"/>
    </row>
    <row r="82" spans="1:85" ht="15.75" customHeight="1">
      <c r="A82" s="11"/>
      <c r="CG82" s="12"/>
    </row>
    <row r="83" spans="1:85" ht="15.75" customHeight="1">
      <c r="A83" s="11"/>
      <c r="CG83" s="12"/>
    </row>
    <row r="84" spans="1:85" ht="15.75" customHeight="1">
      <c r="A84" s="11"/>
      <c r="CG84" s="12"/>
    </row>
    <row r="85" spans="1:85" ht="15.75" customHeight="1">
      <c r="A85" s="11"/>
      <c r="CG85" s="12"/>
    </row>
    <row r="86" spans="1:85" ht="15.75" customHeight="1">
      <c r="A86" s="11"/>
      <c r="CG86" s="12"/>
    </row>
    <row r="87" spans="1:85" ht="15.75" customHeight="1">
      <c r="A87" s="11"/>
      <c r="CG87" s="12"/>
    </row>
    <row r="88" spans="1:85" ht="15.75" customHeight="1">
      <c r="A88" s="11"/>
      <c r="CG88" s="12"/>
    </row>
    <row r="89" spans="1:85" ht="15.75" customHeight="1">
      <c r="A89" s="11"/>
      <c r="CG89" s="12"/>
    </row>
    <row r="90" spans="1:85" ht="15.75" customHeight="1">
      <c r="A90" s="11"/>
      <c r="CG90" s="12"/>
    </row>
    <row r="91" spans="1:85" ht="15.75" customHeight="1">
      <c r="A91" s="11"/>
      <c r="CG91" s="12"/>
    </row>
    <row r="92" spans="1:85" ht="15.75" customHeight="1">
      <c r="A92" s="11"/>
      <c r="CG92" s="12"/>
    </row>
    <row r="93" spans="1:85" ht="15.75" customHeight="1">
      <c r="A93" s="11"/>
      <c r="CG93" s="12"/>
    </row>
    <row r="94" spans="1:85" ht="15.75" customHeight="1">
      <c r="A94" s="11"/>
      <c r="CG94" s="12"/>
    </row>
    <row r="95" spans="1:85" ht="15.75" customHeight="1">
      <c r="A95" s="11"/>
      <c r="CG95" s="12"/>
    </row>
    <row r="96" spans="1:85" ht="15.75" customHeight="1">
      <c r="A96" s="11"/>
      <c r="CG96" s="12"/>
    </row>
    <row r="97" spans="1:85" ht="15.75" customHeight="1">
      <c r="A97" s="11"/>
      <c r="CG97" s="12"/>
    </row>
    <row r="98" spans="1:85" ht="15.75" customHeight="1">
      <c r="A98" s="11"/>
      <c r="CG98" s="12"/>
    </row>
    <row r="99" spans="1:85" ht="15.75" customHeight="1">
      <c r="A99" s="11"/>
      <c r="CG99" s="12"/>
    </row>
    <row r="100" spans="1:85" ht="15.75" customHeight="1">
      <c r="A100" s="11"/>
      <c r="CG100" s="12"/>
    </row>
    <row r="101" spans="1:85" ht="15.75" customHeight="1">
      <c r="A101" s="11"/>
      <c r="CG101" s="12"/>
    </row>
    <row r="102" spans="1:85" ht="15.75" customHeight="1">
      <c r="A102" s="11"/>
      <c r="CG102" s="12"/>
    </row>
    <row r="103" spans="1:85" ht="15.75" customHeight="1">
      <c r="A103" s="11"/>
      <c r="CG103" s="12"/>
    </row>
    <row r="104" spans="1:85" ht="15.75" customHeight="1">
      <c r="A104" s="11"/>
      <c r="CG104" s="12"/>
    </row>
    <row r="105" spans="1:85" ht="15.75" customHeight="1">
      <c r="A105" s="11"/>
      <c r="CG105" s="12"/>
    </row>
    <row r="106" spans="1:85" ht="15.75" customHeight="1">
      <c r="A106" s="11"/>
      <c r="CG106" s="12"/>
    </row>
    <row r="107" spans="1:85" ht="15.75" customHeight="1">
      <c r="A107" s="11"/>
      <c r="CG107" s="12"/>
    </row>
    <row r="108" spans="1:85" ht="15.75" customHeight="1">
      <c r="A108" s="11"/>
      <c r="CG108" s="12"/>
    </row>
    <row r="109" spans="1:85" ht="15.75" customHeight="1">
      <c r="A109" s="11"/>
      <c r="CG109" s="12"/>
    </row>
    <row r="110" spans="1:85" ht="15.75" customHeight="1">
      <c r="A110" s="11"/>
      <c r="CG110" s="12"/>
    </row>
    <row r="111" spans="1:85" ht="15.75" customHeight="1">
      <c r="A111" s="11"/>
      <c r="CG111" s="12"/>
    </row>
    <row r="112" spans="1:85" ht="15.75" customHeight="1">
      <c r="A112" s="11"/>
      <c r="CG112" s="12"/>
    </row>
    <row r="113" spans="1:85" ht="15.75" customHeight="1">
      <c r="A113" s="11"/>
      <c r="CG113" s="12"/>
    </row>
    <row r="114" spans="1:85" ht="15.75" customHeight="1">
      <c r="A114" s="11"/>
      <c r="CG114" s="12"/>
    </row>
    <row r="115" spans="1:85" ht="15.75" customHeight="1">
      <c r="A115" s="11"/>
      <c r="CG115" s="12"/>
    </row>
    <row r="116" spans="1:85" ht="15.75" customHeight="1">
      <c r="A116" s="11"/>
      <c r="CG116" s="12"/>
    </row>
    <row r="117" spans="1:85" ht="15.75" customHeight="1">
      <c r="A117" s="11"/>
      <c r="CG117" s="12"/>
    </row>
    <row r="118" spans="1:85" ht="15.75" customHeight="1">
      <c r="A118" s="11"/>
      <c r="CG118" s="12"/>
    </row>
    <row r="119" spans="1:85" ht="15.75" customHeight="1">
      <c r="A119" s="11"/>
      <c r="CG119" s="12"/>
    </row>
    <row r="120" spans="1:85" ht="15.75" customHeight="1">
      <c r="A120" s="11"/>
      <c r="CG120" s="12"/>
    </row>
    <row r="121" spans="1:85" ht="15.75" customHeight="1">
      <c r="A121" s="11"/>
      <c r="CG121" s="12"/>
    </row>
    <row r="122" spans="1:85" ht="15.75" customHeight="1">
      <c r="A122" s="11"/>
      <c r="CG122" s="12"/>
    </row>
    <row r="123" spans="1:85" ht="15.75" customHeight="1">
      <c r="A123" s="11"/>
      <c r="CG123" s="12"/>
    </row>
    <row r="124" spans="1:85" ht="15.75" customHeight="1">
      <c r="A124" s="11"/>
      <c r="CG124" s="12"/>
    </row>
    <row r="125" spans="1:85" ht="15.75" customHeight="1">
      <c r="A125" s="11"/>
      <c r="CG125" s="12"/>
    </row>
    <row r="126" spans="1:85" ht="15.75" customHeight="1">
      <c r="A126" s="11"/>
      <c r="CG126" s="12"/>
    </row>
    <row r="127" spans="1:85" ht="15.75" customHeight="1">
      <c r="A127" s="11"/>
      <c r="CG127" s="12"/>
    </row>
    <row r="128" spans="1:85" ht="15.75" customHeight="1">
      <c r="A128" s="11"/>
      <c r="CG128" s="12"/>
    </row>
    <row r="129" spans="1:85" ht="15.75" customHeight="1">
      <c r="A129" s="11"/>
      <c r="CG129" s="12"/>
    </row>
    <row r="130" spans="1:85" ht="15.75" customHeight="1">
      <c r="A130" s="11"/>
      <c r="CG130" s="12"/>
    </row>
    <row r="131" spans="1:85" ht="15.75" customHeight="1">
      <c r="A131" s="11"/>
      <c r="CG131" s="12"/>
    </row>
    <row r="132" spans="1:85" ht="15.75" customHeight="1">
      <c r="A132" s="11"/>
      <c r="CG132" s="12"/>
    </row>
    <row r="133" spans="1:85" ht="15.75" customHeight="1">
      <c r="A133" s="11"/>
      <c r="CG133" s="12"/>
    </row>
    <row r="134" spans="1:85" ht="15.75" customHeight="1">
      <c r="A134" s="11"/>
      <c r="CG134" s="12"/>
    </row>
    <row r="135" spans="1:85" ht="15.75" customHeight="1">
      <c r="A135" s="11"/>
      <c r="CG135" s="12"/>
    </row>
    <row r="136" spans="1:85" ht="15.75" customHeight="1">
      <c r="A136" s="11"/>
      <c r="CG136" s="12"/>
    </row>
    <row r="137" spans="1:85" ht="15.75" customHeight="1">
      <c r="A137" s="11"/>
      <c r="CG137" s="12"/>
    </row>
    <row r="138" spans="1:85" ht="15.75" customHeight="1">
      <c r="A138" s="11"/>
      <c r="CG138" s="12"/>
    </row>
    <row r="139" spans="1:85" ht="15.75" customHeight="1">
      <c r="A139" s="11"/>
      <c r="CG139" s="12"/>
    </row>
    <row r="140" spans="1:85" ht="15.75" customHeight="1">
      <c r="A140" s="11"/>
      <c r="CG140" s="12"/>
    </row>
    <row r="141" spans="1:85" ht="15.75" customHeight="1">
      <c r="A141" s="11"/>
      <c r="CG141" s="12"/>
    </row>
    <row r="142" spans="1:85" ht="15.75" customHeight="1">
      <c r="A142" s="11"/>
      <c r="CG142" s="12"/>
    </row>
    <row r="143" spans="1:85" ht="15.75" customHeight="1">
      <c r="A143" s="11"/>
      <c r="CG143" s="12"/>
    </row>
    <row r="144" spans="1:85" ht="15.75" customHeight="1">
      <c r="A144" s="11"/>
      <c r="CG144" s="12"/>
    </row>
    <row r="145" spans="1:85" ht="15.75" customHeight="1">
      <c r="A145" s="11"/>
      <c r="CG145" s="12"/>
    </row>
    <row r="146" spans="1:85" ht="15.75" customHeight="1">
      <c r="A146" s="11"/>
      <c r="CG146" s="12"/>
    </row>
    <row r="147" spans="1:85" ht="15.75" customHeight="1">
      <c r="A147" s="11"/>
      <c r="CG147" s="12"/>
    </row>
    <row r="148" spans="1:85" ht="15.75" customHeight="1">
      <c r="A148" s="11"/>
      <c r="CG148" s="12"/>
    </row>
    <row r="149" spans="1:85" ht="15.75" customHeight="1">
      <c r="A149" s="11"/>
      <c r="CG149" s="12"/>
    </row>
    <row r="150" spans="1:85" ht="15.75" customHeight="1">
      <c r="A150" s="11"/>
      <c r="CG150" s="12"/>
    </row>
    <row r="151" spans="1:85" ht="15.75" customHeight="1">
      <c r="A151" s="11"/>
      <c r="CG151" s="12"/>
    </row>
    <row r="152" spans="1:85" ht="15.75" customHeight="1">
      <c r="A152" s="11"/>
      <c r="CG152" s="12"/>
    </row>
    <row r="153" spans="1:85" ht="15.75" customHeight="1">
      <c r="A153" s="11"/>
      <c r="CG153" s="12"/>
    </row>
    <row r="154" spans="1:85" ht="15.75" customHeight="1">
      <c r="A154" s="11"/>
      <c r="CG154" s="12"/>
    </row>
    <row r="155" spans="1:85" ht="15.75" customHeight="1">
      <c r="A155" s="11"/>
      <c r="CG155" s="12"/>
    </row>
    <row r="156" spans="1:85" ht="15.75" customHeight="1">
      <c r="A156" s="11"/>
      <c r="CG156" s="12"/>
    </row>
    <row r="157" spans="1:85" ht="15.75" customHeight="1">
      <c r="A157" s="11"/>
      <c r="CG157" s="12"/>
    </row>
    <row r="158" spans="1:85" ht="15.75" customHeight="1">
      <c r="A158" s="11"/>
      <c r="CG158" s="12"/>
    </row>
    <row r="159" spans="1:85" ht="15.75" customHeight="1">
      <c r="A159" s="11"/>
      <c r="CG159" s="12"/>
    </row>
    <row r="160" spans="1:85" ht="15.75" customHeight="1">
      <c r="A160" s="11"/>
      <c r="CG160" s="12"/>
    </row>
    <row r="161" spans="1:85" ht="15.75" customHeight="1">
      <c r="A161" s="11"/>
      <c r="CG161" s="12"/>
    </row>
    <row r="162" spans="1:85" ht="15.75" customHeight="1">
      <c r="A162" s="11"/>
      <c r="CG162" s="12"/>
    </row>
    <row r="163" spans="1:85" ht="15.75" customHeight="1">
      <c r="A163" s="11"/>
      <c r="CG163" s="12"/>
    </row>
    <row r="164" spans="1:85" ht="15.75" customHeight="1">
      <c r="A164" s="11"/>
      <c r="CG164" s="12"/>
    </row>
    <row r="165" spans="1:85" ht="15.75" customHeight="1">
      <c r="A165" s="11"/>
      <c r="CG165" s="12"/>
    </row>
    <row r="166" spans="1:85" ht="15.75" customHeight="1">
      <c r="A166" s="11"/>
      <c r="CG166" s="12"/>
    </row>
    <row r="167" spans="1:85" ht="15.75" customHeight="1">
      <c r="A167" s="11"/>
      <c r="CG167" s="12"/>
    </row>
    <row r="168" spans="1:85" ht="15.75" customHeight="1">
      <c r="A168" s="11"/>
      <c r="CG168" s="12"/>
    </row>
    <row r="169" spans="1:85" ht="15.75" customHeight="1">
      <c r="A169" s="11"/>
      <c r="CG169" s="12"/>
    </row>
    <row r="170" spans="1:85" ht="15.75" customHeight="1">
      <c r="A170" s="11"/>
      <c r="CG170" s="12"/>
    </row>
    <row r="171" spans="1:85" ht="15.75" customHeight="1">
      <c r="A171" s="11"/>
      <c r="CG171" s="12"/>
    </row>
    <row r="172" spans="1:85" ht="15.75" customHeight="1">
      <c r="A172" s="11"/>
      <c r="CG172" s="12"/>
    </row>
    <row r="173" spans="1:85" ht="15.75" customHeight="1">
      <c r="A173" s="11"/>
      <c r="CG173" s="12"/>
    </row>
    <row r="174" spans="1:85" ht="15.75" customHeight="1">
      <c r="A174" s="11"/>
      <c r="CG174" s="12"/>
    </row>
    <row r="175" spans="1:85" ht="15.75" customHeight="1">
      <c r="A175" s="11"/>
      <c r="CG175" s="12"/>
    </row>
    <row r="176" spans="1:85" ht="15.75" customHeight="1">
      <c r="A176" s="11"/>
      <c r="CG176" s="12"/>
    </row>
    <row r="177" spans="1:85" ht="15.75" customHeight="1">
      <c r="A177" s="11"/>
      <c r="CG177" s="12"/>
    </row>
    <row r="178" spans="1:85" ht="15.75" customHeight="1">
      <c r="A178" s="11"/>
      <c r="CG178" s="12"/>
    </row>
    <row r="179" spans="1:85" ht="15.75" customHeight="1">
      <c r="A179" s="11"/>
      <c r="CG179" s="12"/>
    </row>
    <row r="180" spans="1:85" ht="15.75" customHeight="1">
      <c r="A180" s="11"/>
      <c r="CG180" s="12"/>
    </row>
    <row r="181" spans="1:85" ht="15.75" customHeight="1">
      <c r="A181" s="11"/>
      <c r="CG181" s="12"/>
    </row>
    <row r="182" spans="1:85" ht="15.75" customHeight="1">
      <c r="A182" s="11"/>
      <c r="CG182" s="12"/>
    </row>
    <row r="183" spans="1:85" ht="15.75" customHeight="1">
      <c r="A183" s="11"/>
      <c r="CG183" s="12"/>
    </row>
    <row r="184" spans="1:85" ht="15.75" customHeight="1">
      <c r="A184" s="11"/>
      <c r="CG184" s="12"/>
    </row>
    <row r="185" spans="1:85" ht="15.75" customHeight="1">
      <c r="A185" s="11"/>
      <c r="CG185" s="12"/>
    </row>
    <row r="186" spans="1:85" ht="15.75" customHeight="1">
      <c r="A186" s="11"/>
      <c r="CG186" s="12"/>
    </row>
    <row r="187" spans="1:85" ht="15.75" customHeight="1">
      <c r="A187" s="11"/>
      <c r="CG187" s="12"/>
    </row>
    <row r="188" spans="1:85" ht="15.75" customHeight="1">
      <c r="A188" s="11"/>
      <c r="CG188" s="12"/>
    </row>
    <row r="189" spans="1:85" ht="15.75" customHeight="1">
      <c r="A189" s="11"/>
      <c r="CG189" s="12"/>
    </row>
    <row r="190" spans="1:85" ht="15.75" customHeight="1">
      <c r="A190" s="11"/>
      <c r="CG190" s="12"/>
    </row>
    <row r="191" spans="1:85" ht="15.75" customHeight="1">
      <c r="A191" s="11"/>
      <c r="CG191" s="12"/>
    </row>
    <row r="192" spans="1:85" ht="15.75" customHeight="1">
      <c r="A192" s="11"/>
      <c r="CG192" s="12"/>
    </row>
    <row r="193" spans="1:85" ht="15.75" customHeight="1">
      <c r="A193" s="11"/>
      <c r="CG193" s="12"/>
    </row>
    <row r="194" spans="1:85" ht="15.75" customHeight="1">
      <c r="A194" s="11"/>
      <c r="CG194" s="12"/>
    </row>
    <row r="195" spans="1:85" ht="15.75" customHeight="1">
      <c r="A195" s="11"/>
      <c r="CG195" s="12"/>
    </row>
    <row r="196" spans="1:85" ht="15.75" customHeight="1">
      <c r="A196" s="11"/>
      <c r="CG196" s="12"/>
    </row>
    <row r="197" spans="1:85" ht="15.75" customHeight="1">
      <c r="A197" s="11"/>
      <c r="CG197" s="12"/>
    </row>
    <row r="198" spans="1:85" ht="15.75" customHeight="1">
      <c r="A198" s="11"/>
      <c r="CG198" s="12"/>
    </row>
    <row r="199" spans="1:85" ht="15.75" customHeight="1">
      <c r="A199" s="11"/>
      <c r="CG199" s="12"/>
    </row>
    <row r="200" spans="1:85" ht="15.75" customHeight="1">
      <c r="A200" s="11"/>
      <c r="CG200" s="12"/>
    </row>
    <row r="201" spans="1:85" ht="15.75" customHeight="1">
      <c r="A201" s="11"/>
      <c r="CG201" s="12"/>
    </row>
    <row r="202" spans="1:85" ht="15.75" customHeight="1">
      <c r="A202" s="11"/>
      <c r="CG202" s="12"/>
    </row>
    <row r="203" spans="1:85" ht="15.75" customHeight="1">
      <c r="A203" s="11"/>
      <c r="CG203" s="12"/>
    </row>
    <row r="204" spans="1:85" ht="15.75" customHeight="1">
      <c r="A204" s="11"/>
      <c r="CG204" s="12"/>
    </row>
    <row r="205" spans="1:85" ht="15.75" customHeight="1">
      <c r="A205" s="11"/>
      <c r="CG205" s="12"/>
    </row>
    <row r="206" spans="1:85" ht="15.75" customHeight="1">
      <c r="A206" s="11"/>
      <c r="CG206" s="12"/>
    </row>
    <row r="207" spans="1:85" ht="15.75" customHeight="1">
      <c r="A207" s="11"/>
      <c r="CG207" s="12"/>
    </row>
    <row r="208" spans="1:85" ht="15.75" customHeight="1">
      <c r="A208" s="11"/>
      <c r="CG208" s="12"/>
    </row>
    <row r="209" spans="1:85" ht="15.75" customHeight="1">
      <c r="A209" s="11"/>
      <c r="CG209" s="12"/>
    </row>
    <row r="210" spans="1:85" ht="15.75" customHeight="1">
      <c r="A210" s="11"/>
      <c r="CG210" s="12"/>
    </row>
    <row r="211" spans="1:85" ht="15.75" customHeight="1">
      <c r="A211" s="11"/>
      <c r="CG211" s="12"/>
    </row>
    <row r="212" spans="1:85" ht="15.75" customHeight="1">
      <c r="A212" s="11"/>
      <c r="CG212" s="12"/>
    </row>
    <row r="213" spans="1:85" ht="15.75" customHeight="1">
      <c r="A213" s="11"/>
      <c r="CG213" s="12"/>
    </row>
    <row r="214" spans="1:85" ht="15.75" customHeight="1">
      <c r="A214" s="11"/>
      <c r="CG214" s="12"/>
    </row>
    <row r="215" spans="1:85" ht="15.75" customHeight="1">
      <c r="A215" s="11"/>
      <c r="CG215" s="12"/>
    </row>
    <row r="216" spans="1:85" ht="15.75" customHeight="1">
      <c r="A216" s="11"/>
      <c r="CG216" s="12"/>
    </row>
    <row r="217" spans="1:85" ht="15.75" customHeight="1">
      <c r="A217" s="11"/>
      <c r="CG217" s="12"/>
    </row>
    <row r="218" spans="1:85" ht="15.75" customHeight="1">
      <c r="A218" s="11"/>
      <c r="CG218" s="12"/>
    </row>
    <row r="219" spans="1:85" ht="15.75" customHeight="1">
      <c r="A219" s="11"/>
      <c r="CG219" s="12"/>
    </row>
    <row r="220" spans="1:85" ht="15.75" customHeight="1">
      <c r="A220" s="11"/>
      <c r="CG220" s="12"/>
    </row>
    <row r="221" spans="1:85" ht="15.75" customHeight="1">
      <c r="A221" s="11"/>
      <c r="CG221" s="12"/>
    </row>
    <row r="222" spans="1:85" ht="15.75" customHeight="1">
      <c r="A222" s="11"/>
      <c r="CG222" s="12"/>
    </row>
    <row r="223" spans="1:85" ht="15.75" customHeight="1">
      <c r="A223" s="11"/>
      <c r="CG223" s="12"/>
    </row>
    <row r="224" spans="1:85" ht="15.75" customHeight="1">
      <c r="A224" s="11"/>
      <c r="CG224" s="12"/>
    </row>
    <row r="225" spans="1:85" ht="15.75" customHeight="1">
      <c r="A225" s="11"/>
      <c r="CG225" s="12"/>
    </row>
    <row r="226" spans="1:85" ht="15.75" customHeight="1">
      <c r="A226" s="11"/>
      <c r="CG226" s="12"/>
    </row>
    <row r="227" spans="1:85" ht="15.75" customHeight="1">
      <c r="A227" s="11"/>
      <c r="CG227" s="12"/>
    </row>
    <row r="228" spans="1:85" ht="15.75" customHeight="1">
      <c r="A228" s="11"/>
      <c r="CG228" s="12"/>
    </row>
    <row r="229" spans="1:85" ht="15.75" customHeight="1">
      <c r="A229" s="11"/>
      <c r="CG229" s="12"/>
    </row>
    <row r="230" spans="1:85" ht="15.75" customHeight="1">
      <c r="A230" s="11"/>
      <c r="CG230" s="12"/>
    </row>
    <row r="231" spans="1:85" ht="15.75" customHeight="1">
      <c r="A231" s="11"/>
      <c r="CG231" s="12"/>
    </row>
    <row r="232" spans="1:85" ht="15.75" customHeight="1">
      <c r="A232" s="11"/>
      <c r="CG232" s="12"/>
    </row>
    <row r="233" spans="1:85" ht="15.75" customHeight="1">
      <c r="A233" s="11"/>
      <c r="CG233" s="12"/>
    </row>
    <row r="234" spans="1:85" ht="15.75" customHeight="1">
      <c r="A234" s="11"/>
      <c r="CG234" s="12"/>
    </row>
    <row r="235" spans="1:85" ht="15.75" customHeight="1">
      <c r="A235" s="11"/>
      <c r="CG235" s="12"/>
    </row>
    <row r="236" spans="1:85" ht="15.75" customHeight="1">
      <c r="A236" s="11"/>
      <c r="CG236" s="12"/>
    </row>
    <row r="237" spans="1:85" ht="15.75" customHeight="1">
      <c r="A237" s="11"/>
      <c r="CG237" s="12"/>
    </row>
    <row r="238" spans="1:85" ht="15.75" customHeight="1">
      <c r="A238" s="11"/>
      <c r="CG238" s="12"/>
    </row>
    <row r="239" spans="1:85" ht="15.75" customHeight="1">
      <c r="A239" s="11"/>
      <c r="CG239" s="12"/>
    </row>
    <row r="240" spans="1:85" ht="15.75" customHeight="1">
      <c r="A240" s="11"/>
      <c r="CG240" s="12"/>
    </row>
    <row r="241" spans="1:85" ht="15.75" customHeight="1">
      <c r="A241" s="11"/>
      <c r="CG241" s="12"/>
    </row>
    <row r="242" spans="1:85" ht="15.75" customHeight="1">
      <c r="A242" s="11"/>
      <c r="CG242" s="12"/>
    </row>
    <row r="243" spans="1:85" ht="15.75" customHeight="1">
      <c r="A243" s="11"/>
      <c r="CG243" s="12"/>
    </row>
    <row r="244" spans="1:85" ht="15.75" customHeight="1">
      <c r="A244" s="11"/>
      <c r="CG244" s="12"/>
    </row>
    <row r="245" spans="1:85" ht="15.75" customHeight="1">
      <c r="A245" s="11"/>
      <c r="CG245" s="12"/>
    </row>
    <row r="246" spans="1:85" ht="15.75" customHeight="1">
      <c r="A246" s="11"/>
      <c r="CG246" s="12"/>
    </row>
    <row r="247" spans="1:85" ht="15.75" customHeight="1">
      <c r="A247" s="11"/>
      <c r="CG247" s="12"/>
    </row>
    <row r="248" spans="1:85" ht="15.75" customHeight="1">
      <c r="A248" s="11"/>
      <c r="CG248" s="12"/>
    </row>
    <row r="249" spans="1:85" ht="15.75" customHeight="1">
      <c r="A249" s="11"/>
      <c r="CG249" s="12"/>
    </row>
    <row r="250" spans="1:85" ht="15.75" customHeight="1">
      <c r="A250" s="11"/>
      <c r="CG250" s="12"/>
    </row>
    <row r="251" spans="1:85" ht="15.75" customHeight="1">
      <c r="A251" s="11"/>
      <c r="CG251" s="12"/>
    </row>
    <row r="252" spans="1:85" ht="15.75" customHeight="1">
      <c r="A252" s="11"/>
      <c r="CG252" s="12"/>
    </row>
    <row r="253" spans="1:85" ht="15.75" customHeight="1">
      <c r="A253" s="11"/>
      <c r="CG253" s="12"/>
    </row>
    <row r="254" spans="1:85" ht="15.75" customHeight="1">
      <c r="A254" s="11"/>
      <c r="CG254" s="12"/>
    </row>
    <row r="255" spans="1:85" ht="15.75" customHeight="1">
      <c r="A255" s="11"/>
      <c r="CG255" s="12"/>
    </row>
    <row r="256" spans="1:85" ht="15.75" customHeight="1">
      <c r="A256" s="11"/>
      <c r="CG256" s="12"/>
    </row>
    <row r="257" spans="1:85" ht="15.75" customHeight="1">
      <c r="A257" s="11"/>
      <c r="CG257" s="12"/>
    </row>
    <row r="258" spans="1:85" ht="15.75" customHeight="1">
      <c r="A258" s="11"/>
      <c r="CG258" s="12"/>
    </row>
    <row r="259" spans="1:85" ht="15.75" customHeight="1">
      <c r="A259" s="11"/>
      <c r="CG259" s="12"/>
    </row>
    <row r="260" spans="1:85" ht="15.75" customHeight="1">
      <c r="A260" s="11"/>
      <c r="CG260" s="12"/>
    </row>
    <row r="261" spans="1:85" ht="15.75" customHeight="1">
      <c r="A261" s="11"/>
      <c r="CG261" s="12"/>
    </row>
    <row r="262" spans="1:85" ht="15.75" customHeight="1">
      <c r="A262" s="11"/>
      <c r="CG262" s="12"/>
    </row>
    <row r="263" spans="1:85" ht="15.75" customHeight="1">
      <c r="A263" s="11"/>
      <c r="CG263" s="12"/>
    </row>
    <row r="264" spans="1:85" ht="15.75" customHeight="1">
      <c r="A264" s="11"/>
      <c r="CG264" s="12"/>
    </row>
    <row r="265" spans="1:85" ht="15.75" customHeight="1">
      <c r="A265" s="11"/>
      <c r="CG265" s="12"/>
    </row>
    <row r="266" spans="1:85" ht="15.75" customHeight="1">
      <c r="A266" s="11"/>
      <c r="CG266" s="12"/>
    </row>
    <row r="267" spans="1:85" ht="15.75" customHeight="1">
      <c r="A267" s="11"/>
      <c r="CG267" s="12"/>
    </row>
    <row r="268" spans="1:85" ht="15.75" customHeight="1">
      <c r="A268" s="11"/>
      <c r="CG268" s="12"/>
    </row>
    <row r="269" spans="1:85" ht="15.75" customHeight="1">
      <c r="A269" s="11"/>
      <c r="CG269" s="12"/>
    </row>
    <row r="270" spans="1:85" ht="15.75" customHeight="1">
      <c r="A270" s="11"/>
      <c r="CG270" s="12"/>
    </row>
    <row r="271" spans="1:85" ht="15.75" customHeight="1">
      <c r="A271" s="11"/>
      <c r="CG271" s="12"/>
    </row>
    <row r="272" spans="1:85" ht="15.75" customHeight="1">
      <c r="A272" s="11"/>
      <c r="CG272" s="12"/>
    </row>
    <row r="273" spans="1:85" ht="15.75" customHeight="1">
      <c r="A273" s="11"/>
      <c r="CG273" s="12"/>
    </row>
    <row r="274" spans="1:85" ht="15.75" customHeight="1">
      <c r="A274" s="11"/>
      <c r="CG274" s="12"/>
    </row>
    <row r="275" spans="1:85" ht="15.75" customHeight="1">
      <c r="A275" s="11"/>
      <c r="CG275" s="12"/>
    </row>
    <row r="276" spans="1:85" ht="15.75" customHeight="1">
      <c r="A276" s="11"/>
      <c r="CG276" s="12"/>
    </row>
    <row r="277" spans="1:85" ht="15.75" customHeight="1">
      <c r="A277" s="11"/>
      <c r="CG277" s="12"/>
    </row>
    <row r="278" spans="1:85" ht="15.75" customHeight="1">
      <c r="A278" s="11"/>
      <c r="CG278" s="12"/>
    </row>
    <row r="279" spans="1:85" ht="15.75" customHeight="1">
      <c r="A279" s="11"/>
      <c r="CG279" s="12"/>
    </row>
    <row r="280" spans="1:85" ht="15.75" customHeight="1">
      <c r="A280" s="11"/>
      <c r="CG280" s="12"/>
    </row>
    <row r="281" spans="1:85" ht="15.75" customHeight="1">
      <c r="A281" s="11"/>
      <c r="CG281" s="12"/>
    </row>
    <row r="282" spans="1:85" ht="15.75" customHeight="1">
      <c r="A282" s="11"/>
      <c r="CG282" s="12"/>
    </row>
    <row r="283" spans="1:85" ht="15.75" customHeight="1">
      <c r="A283" s="11"/>
      <c r="CG283" s="12"/>
    </row>
    <row r="284" spans="1:85" ht="15.75" customHeight="1">
      <c r="A284" s="11"/>
      <c r="CG284" s="12"/>
    </row>
    <row r="285" spans="1:85" ht="15.75" customHeight="1">
      <c r="A285" s="11"/>
      <c r="CG285" s="12"/>
    </row>
    <row r="286" spans="1:85" ht="15.75" customHeight="1">
      <c r="A286" s="11"/>
      <c r="CG286" s="12"/>
    </row>
    <row r="287" spans="1:85" ht="15.75" customHeight="1">
      <c r="A287" s="11"/>
      <c r="CG287" s="12"/>
    </row>
    <row r="288" spans="1:85" ht="15.75" customHeight="1">
      <c r="A288" s="11"/>
      <c r="CG288" s="12"/>
    </row>
    <row r="289" spans="1:85" ht="15.75" customHeight="1">
      <c r="A289" s="11"/>
      <c r="CG289" s="12"/>
    </row>
    <row r="290" spans="1:85" ht="15.75" customHeight="1">
      <c r="A290" s="11"/>
      <c r="CG290" s="12"/>
    </row>
    <row r="291" spans="1:85" ht="15.75" customHeight="1">
      <c r="A291" s="11"/>
      <c r="CG291" s="12"/>
    </row>
    <row r="292" spans="1:85" ht="15.75" customHeight="1">
      <c r="A292" s="11"/>
      <c r="CG292" s="12"/>
    </row>
    <row r="293" spans="1:85" ht="15.75" customHeight="1">
      <c r="A293" s="11"/>
      <c r="CG293" s="12"/>
    </row>
    <row r="294" spans="1:85" ht="15.75" customHeight="1">
      <c r="A294" s="11"/>
      <c r="CG294" s="12"/>
    </row>
    <row r="295" spans="1:85" ht="15.75" customHeight="1">
      <c r="A295" s="11"/>
      <c r="CG295" s="12"/>
    </row>
    <row r="296" spans="1:85" ht="15.75" customHeight="1">
      <c r="A296" s="11"/>
      <c r="CG296" s="12"/>
    </row>
    <row r="297" spans="1:85" ht="15.75" customHeight="1">
      <c r="A297" s="11"/>
      <c r="CG297" s="12"/>
    </row>
    <row r="298" spans="1:85" ht="15.75" customHeight="1">
      <c r="A298" s="11"/>
      <c r="CG298" s="12"/>
    </row>
    <row r="299" spans="1:85" ht="15.75" customHeight="1">
      <c r="A299" s="11"/>
      <c r="CG299" s="12"/>
    </row>
    <row r="300" spans="1:85" ht="15.75" customHeight="1">
      <c r="A300" s="11"/>
      <c r="CG300" s="12"/>
    </row>
    <row r="301" spans="1:85" ht="15.75" customHeight="1">
      <c r="A301" s="11"/>
      <c r="CG301" s="12"/>
    </row>
    <row r="302" spans="1:85" ht="15.75" customHeight="1">
      <c r="A302" s="11"/>
      <c r="CG302" s="12"/>
    </row>
    <row r="303" spans="1:85" ht="15.75" customHeight="1">
      <c r="A303" s="11"/>
      <c r="CG303" s="12"/>
    </row>
    <row r="304" spans="1:85" ht="15.75" customHeight="1">
      <c r="A304" s="11"/>
      <c r="CG304" s="12"/>
    </row>
    <row r="305" spans="1:85" ht="15.75" customHeight="1">
      <c r="A305" s="11"/>
      <c r="CG305" s="12"/>
    </row>
    <row r="306" spans="1:85" ht="15.75" customHeight="1">
      <c r="A306" s="11"/>
      <c r="CG306" s="12"/>
    </row>
    <row r="307" spans="1:85" ht="15.75" customHeight="1">
      <c r="A307" s="11"/>
      <c r="CG307" s="12"/>
    </row>
    <row r="308" spans="1:85" ht="15.75" customHeight="1">
      <c r="A308" s="11"/>
      <c r="CG308" s="12"/>
    </row>
    <row r="309" spans="1:85" ht="15.75" customHeight="1">
      <c r="A309" s="11"/>
      <c r="CG309" s="12"/>
    </row>
    <row r="310" spans="1:85" ht="15.75" customHeight="1">
      <c r="A310" s="11"/>
      <c r="CG310" s="12"/>
    </row>
    <row r="311" spans="1:85" ht="15.75" customHeight="1">
      <c r="A311" s="11"/>
      <c r="CG311" s="12"/>
    </row>
    <row r="312" spans="1:85" ht="15.75" customHeight="1">
      <c r="A312" s="11"/>
      <c r="CG312" s="12"/>
    </row>
    <row r="313" spans="1:85" ht="15.75" customHeight="1">
      <c r="A313" s="11"/>
      <c r="CG313" s="12"/>
    </row>
    <row r="314" spans="1:85" ht="15.75" customHeight="1">
      <c r="A314" s="11"/>
      <c r="CG314" s="12"/>
    </row>
    <row r="315" spans="1:85" ht="15.75" customHeight="1">
      <c r="A315" s="11"/>
      <c r="CG315" s="12"/>
    </row>
    <row r="316" spans="1:85" ht="15.75" customHeight="1">
      <c r="A316" s="11"/>
      <c r="CG316" s="12"/>
    </row>
    <row r="317" spans="1:85" ht="15.75" customHeight="1">
      <c r="A317" s="11"/>
      <c r="CG317" s="12"/>
    </row>
    <row r="318" spans="1:85" ht="15.75" customHeight="1">
      <c r="A318" s="11"/>
      <c r="CG318" s="12"/>
    </row>
    <row r="319" spans="1:85" ht="15.75" customHeight="1">
      <c r="A319" s="11"/>
      <c r="CG319" s="12"/>
    </row>
    <row r="320" spans="1:85" ht="15.75" customHeight="1">
      <c r="A320" s="11"/>
      <c r="CG320" s="12"/>
    </row>
    <row r="321" spans="1:85" ht="15.75" customHeight="1">
      <c r="A321" s="11"/>
      <c r="CG321" s="12"/>
    </row>
    <row r="322" spans="1:85" ht="15.75" customHeight="1">
      <c r="A322" s="11"/>
      <c r="CG322" s="12"/>
    </row>
    <row r="323" spans="1:85" ht="15.75" customHeight="1">
      <c r="A323" s="11"/>
      <c r="CG323" s="12"/>
    </row>
    <row r="324" spans="1:85" ht="15.75" customHeight="1">
      <c r="A324" s="11"/>
      <c r="CG324" s="12"/>
    </row>
    <row r="325" spans="1:85" ht="15.75" customHeight="1">
      <c r="A325" s="11"/>
      <c r="CG325" s="12"/>
    </row>
    <row r="326" spans="1:85" ht="15.75" customHeight="1">
      <c r="A326" s="11"/>
      <c r="CG326" s="12"/>
    </row>
    <row r="327" spans="1:85" ht="15.75" customHeight="1">
      <c r="A327" s="11"/>
      <c r="CG327" s="12"/>
    </row>
    <row r="328" spans="1:85" ht="15.75" customHeight="1">
      <c r="A328" s="11"/>
      <c r="CG328" s="12"/>
    </row>
    <row r="329" spans="1:85" ht="15.75" customHeight="1">
      <c r="A329" s="11"/>
      <c r="CG329" s="12"/>
    </row>
    <row r="330" spans="1:85" ht="15.75" customHeight="1">
      <c r="A330" s="11"/>
      <c r="CG330" s="12"/>
    </row>
    <row r="331" spans="1:85" ht="15.75" customHeight="1">
      <c r="A331" s="11"/>
      <c r="CG331" s="12"/>
    </row>
    <row r="332" spans="1:85" ht="15.75" customHeight="1">
      <c r="A332" s="11"/>
      <c r="CG332" s="12"/>
    </row>
    <row r="333" spans="1:85" ht="15.75" customHeight="1">
      <c r="A333" s="11"/>
      <c r="CG333" s="12"/>
    </row>
    <row r="334" spans="1:85" ht="15.75" customHeight="1">
      <c r="A334" s="11"/>
      <c r="CG334" s="12"/>
    </row>
    <row r="335" spans="1:85" ht="15.75" customHeight="1">
      <c r="A335" s="11"/>
      <c r="CG335" s="12"/>
    </row>
    <row r="336" spans="1:85" ht="15.75" customHeight="1">
      <c r="A336" s="11"/>
      <c r="CG336" s="12"/>
    </row>
    <row r="337" spans="1:85" ht="15.75" customHeight="1">
      <c r="A337" s="11"/>
      <c r="CG337" s="12"/>
    </row>
    <row r="338" spans="1:85" ht="15.75" customHeight="1">
      <c r="A338" s="11"/>
      <c r="CG338" s="12"/>
    </row>
    <row r="339" spans="1:85" ht="15.75" customHeight="1">
      <c r="A339" s="11"/>
      <c r="CG339" s="12"/>
    </row>
    <row r="340" spans="1:85" ht="15.75" customHeight="1">
      <c r="A340" s="11"/>
      <c r="CG340" s="12"/>
    </row>
    <row r="341" spans="1:85" ht="15.75" customHeight="1">
      <c r="A341" s="11"/>
      <c r="CG341" s="12"/>
    </row>
    <row r="342" spans="1:85" ht="15.75" customHeight="1">
      <c r="A342" s="11"/>
      <c r="CG342" s="12"/>
    </row>
    <row r="343" spans="1:85" ht="15.75" customHeight="1">
      <c r="A343" s="11"/>
      <c r="CG343" s="12"/>
    </row>
    <row r="344" spans="1:85" ht="15.75" customHeight="1">
      <c r="A344" s="11"/>
      <c r="CG344" s="12"/>
    </row>
    <row r="345" spans="1:85" ht="15.75" customHeight="1">
      <c r="A345" s="11"/>
      <c r="CG345" s="12"/>
    </row>
    <row r="346" spans="1:85" ht="15.75" customHeight="1">
      <c r="A346" s="11"/>
      <c r="CG346" s="12"/>
    </row>
    <row r="347" spans="1:85" ht="15.75" customHeight="1">
      <c r="A347" s="11"/>
      <c r="CG347" s="12"/>
    </row>
    <row r="348" spans="1:85" ht="15.75" customHeight="1">
      <c r="A348" s="11"/>
      <c r="CG348" s="12"/>
    </row>
    <row r="349" spans="1:85" ht="15.75" customHeight="1">
      <c r="A349" s="11"/>
      <c r="CG349" s="12"/>
    </row>
    <row r="350" spans="1:85" ht="15.75" customHeight="1">
      <c r="A350" s="11"/>
      <c r="CG350" s="12"/>
    </row>
    <row r="351" spans="1:85" ht="15.75" customHeight="1">
      <c r="A351" s="11"/>
      <c r="CG351" s="12"/>
    </row>
    <row r="352" spans="1:85" ht="15.75" customHeight="1">
      <c r="A352" s="11"/>
      <c r="CG352" s="12"/>
    </row>
    <row r="353" spans="1:85" ht="15.75" customHeight="1">
      <c r="A353" s="11"/>
      <c r="CG353" s="12"/>
    </row>
    <row r="354" spans="1:85" ht="15.75" customHeight="1">
      <c r="A354" s="11"/>
      <c r="CG354" s="12"/>
    </row>
    <row r="355" spans="1:85" ht="15.75" customHeight="1">
      <c r="A355" s="11"/>
      <c r="CG355" s="12"/>
    </row>
    <row r="356" spans="1:85" ht="15.75" customHeight="1">
      <c r="A356" s="11"/>
      <c r="CG356" s="12"/>
    </row>
    <row r="357" spans="1:85" ht="15.75" customHeight="1">
      <c r="A357" s="11"/>
      <c r="CG357" s="12"/>
    </row>
    <row r="358" spans="1:85" ht="15.75" customHeight="1">
      <c r="A358" s="11"/>
      <c r="CG358" s="12"/>
    </row>
    <row r="359" spans="1:85" ht="15.75" customHeight="1">
      <c r="A359" s="11"/>
      <c r="CG359" s="12"/>
    </row>
    <row r="360" spans="1:85" ht="15.75" customHeight="1">
      <c r="A360" s="11"/>
      <c r="CG360" s="12"/>
    </row>
    <row r="361" spans="1:85" ht="15.75" customHeight="1">
      <c r="A361" s="11"/>
      <c r="CG361" s="12"/>
    </row>
    <row r="362" spans="1:85" ht="15.75" customHeight="1">
      <c r="A362" s="11"/>
      <c r="CG362" s="12"/>
    </row>
    <row r="363" spans="1:85" ht="15.75" customHeight="1">
      <c r="A363" s="11"/>
      <c r="CG363" s="12"/>
    </row>
    <row r="364" spans="1:85" ht="15.75" customHeight="1">
      <c r="A364" s="11"/>
      <c r="CG364" s="12"/>
    </row>
    <row r="365" spans="1:85" ht="15.75" customHeight="1">
      <c r="A365" s="11"/>
      <c r="CG365" s="12"/>
    </row>
    <row r="366" spans="1:85" ht="15.75" customHeight="1">
      <c r="A366" s="11"/>
      <c r="CG366" s="12"/>
    </row>
    <row r="367" spans="1:85" ht="15.75" customHeight="1">
      <c r="A367" s="11"/>
      <c r="CG367" s="12"/>
    </row>
    <row r="368" spans="1:85" ht="15.75" customHeight="1">
      <c r="A368" s="11"/>
      <c r="CG368" s="12"/>
    </row>
    <row r="369" spans="1:85" ht="15.75" customHeight="1">
      <c r="A369" s="11"/>
      <c r="CG369" s="12"/>
    </row>
    <row r="370" spans="1:85" ht="15.75" customHeight="1">
      <c r="A370" s="11"/>
      <c r="CG370" s="12"/>
    </row>
    <row r="371" spans="1:85" ht="15.75" customHeight="1">
      <c r="A371" s="11"/>
      <c r="CG371" s="12"/>
    </row>
    <row r="372" spans="1:85" ht="15.75" customHeight="1">
      <c r="A372" s="11"/>
      <c r="CG372" s="12"/>
    </row>
    <row r="373" spans="1:85" ht="15.75" customHeight="1">
      <c r="A373" s="11"/>
      <c r="CG373" s="12"/>
    </row>
    <row r="374" spans="1:85" ht="15.75" customHeight="1">
      <c r="A374" s="11"/>
      <c r="CG374" s="12"/>
    </row>
    <row r="375" spans="1:85" ht="15.75" customHeight="1">
      <c r="A375" s="11"/>
      <c r="CG375" s="12"/>
    </row>
    <row r="376" spans="1:85" ht="15.75" customHeight="1">
      <c r="A376" s="11"/>
      <c r="CG376" s="12"/>
    </row>
    <row r="377" spans="1:85" ht="15.75" customHeight="1">
      <c r="A377" s="11"/>
      <c r="CG377" s="12"/>
    </row>
    <row r="378" spans="1:85" ht="15.75" customHeight="1">
      <c r="A378" s="11"/>
      <c r="CG378" s="12"/>
    </row>
    <row r="379" spans="1:85" ht="15.75" customHeight="1">
      <c r="A379" s="11"/>
      <c r="CG379" s="12"/>
    </row>
    <row r="380" spans="1:85" ht="15.75" customHeight="1">
      <c r="A380" s="11"/>
      <c r="CG380" s="12"/>
    </row>
    <row r="381" spans="1:85" ht="15.75" customHeight="1">
      <c r="A381" s="11"/>
      <c r="CG381" s="12"/>
    </row>
    <row r="382" spans="1:85" ht="15.75" customHeight="1">
      <c r="A382" s="11"/>
      <c r="CG382" s="12"/>
    </row>
    <row r="383" spans="1:85" ht="15.75" customHeight="1">
      <c r="A383" s="11"/>
      <c r="CG383" s="12"/>
    </row>
    <row r="384" spans="1:85" ht="15.75" customHeight="1">
      <c r="A384" s="11"/>
      <c r="CG384" s="12"/>
    </row>
    <row r="385" spans="1:85" ht="15.75" customHeight="1">
      <c r="A385" s="11"/>
      <c r="CG385" s="12"/>
    </row>
    <row r="386" spans="1:85" ht="15.75" customHeight="1">
      <c r="A386" s="11"/>
      <c r="CG386" s="12"/>
    </row>
    <row r="387" spans="1:85" ht="15.75" customHeight="1">
      <c r="A387" s="11"/>
      <c r="CG387" s="12"/>
    </row>
    <row r="388" spans="1:85" ht="15.75" customHeight="1">
      <c r="A388" s="11"/>
      <c r="CG388" s="12"/>
    </row>
    <row r="389" spans="1:85" ht="15.75" customHeight="1">
      <c r="A389" s="11"/>
      <c r="CG389" s="12"/>
    </row>
    <row r="390" spans="1:85" ht="15.75" customHeight="1">
      <c r="A390" s="11"/>
      <c r="CG390" s="12"/>
    </row>
    <row r="391" spans="1:85" ht="15.75" customHeight="1">
      <c r="A391" s="11"/>
      <c r="CG391" s="12"/>
    </row>
    <row r="392" spans="1:85" ht="15.75" customHeight="1">
      <c r="A392" s="11"/>
      <c r="CG392" s="12"/>
    </row>
    <row r="393" spans="1:85" ht="15.75" customHeight="1">
      <c r="A393" s="11"/>
      <c r="CG393" s="12"/>
    </row>
    <row r="394" spans="1:85" ht="15.75" customHeight="1">
      <c r="A394" s="11"/>
      <c r="CG394" s="12"/>
    </row>
    <row r="395" spans="1:85" ht="15.75" customHeight="1">
      <c r="A395" s="11"/>
      <c r="CG395" s="12"/>
    </row>
    <row r="396" spans="1:85" ht="15.75" customHeight="1">
      <c r="A396" s="11"/>
      <c r="CG396" s="12"/>
    </row>
    <row r="397" spans="1:85" ht="15.75" customHeight="1">
      <c r="A397" s="11"/>
      <c r="CG397" s="12"/>
    </row>
    <row r="398" spans="1:85" ht="15.75" customHeight="1">
      <c r="A398" s="11"/>
      <c r="CG398" s="12"/>
    </row>
    <row r="399" spans="1:85" ht="15.75" customHeight="1">
      <c r="A399" s="11"/>
      <c r="CG399" s="12"/>
    </row>
    <row r="400" spans="1:85" ht="15.75" customHeight="1">
      <c r="A400" s="11"/>
      <c r="CG400" s="12"/>
    </row>
    <row r="401" spans="1:85" ht="15.75" customHeight="1">
      <c r="A401" s="11"/>
      <c r="CG401" s="12"/>
    </row>
    <row r="402" spans="1:85" ht="15.75" customHeight="1">
      <c r="A402" s="11"/>
      <c r="CG402" s="12"/>
    </row>
    <row r="403" spans="1:85" ht="15.75" customHeight="1">
      <c r="A403" s="11"/>
      <c r="CG403" s="12"/>
    </row>
    <row r="404" spans="1:85" ht="15.75" customHeight="1">
      <c r="A404" s="11"/>
      <c r="CG404" s="12"/>
    </row>
    <row r="405" spans="1:85" ht="15.75" customHeight="1">
      <c r="A405" s="11"/>
      <c r="CG405" s="12"/>
    </row>
    <row r="406" spans="1:85" ht="15.75" customHeight="1">
      <c r="A406" s="11"/>
      <c r="CG406" s="12"/>
    </row>
    <row r="407" spans="1:85" ht="15.75" customHeight="1">
      <c r="A407" s="11"/>
      <c r="CG407" s="12"/>
    </row>
    <row r="408" spans="1:85" ht="15.75" customHeight="1">
      <c r="A408" s="11"/>
      <c r="CG408" s="12"/>
    </row>
    <row r="409" spans="1:85" ht="15.75" customHeight="1">
      <c r="A409" s="11"/>
      <c r="CG409" s="12"/>
    </row>
    <row r="410" spans="1:85" ht="15.75" customHeight="1">
      <c r="A410" s="11"/>
      <c r="CG410" s="12"/>
    </row>
    <row r="411" spans="1:85" ht="15.75" customHeight="1">
      <c r="A411" s="11"/>
      <c r="CG411" s="12"/>
    </row>
    <row r="412" spans="1:85" ht="15.75" customHeight="1">
      <c r="A412" s="11"/>
      <c r="CG412" s="12"/>
    </row>
    <row r="413" spans="1:85" ht="15.75" customHeight="1">
      <c r="A413" s="11"/>
      <c r="CG413" s="12"/>
    </row>
    <row r="414" spans="1:85" ht="15.75" customHeight="1">
      <c r="A414" s="11"/>
      <c r="CG414" s="12"/>
    </row>
    <row r="415" spans="1:85" ht="15.75" customHeight="1">
      <c r="A415" s="11"/>
      <c r="CG415" s="12"/>
    </row>
    <row r="416" spans="1:85" ht="15.75" customHeight="1">
      <c r="A416" s="11"/>
      <c r="CG416" s="12"/>
    </row>
    <row r="417" spans="1:85" ht="15.75" customHeight="1">
      <c r="A417" s="11"/>
      <c r="CG417" s="12"/>
    </row>
    <row r="418" spans="1:85" ht="15.75" customHeight="1">
      <c r="A418" s="11"/>
      <c r="CG418" s="12"/>
    </row>
    <row r="419" spans="1:85" ht="15.75" customHeight="1">
      <c r="A419" s="11"/>
      <c r="CG419" s="12"/>
    </row>
    <row r="420" spans="1:85" ht="15.75" customHeight="1">
      <c r="A420" s="11"/>
      <c r="CG420" s="12"/>
    </row>
    <row r="421" spans="1:85" ht="15.75" customHeight="1">
      <c r="A421" s="11"/>
      <c r="CG421" s="12"/>
    </row>
    <row r="422" spans="1:85" ht="15.75" customHeight="1">
      <c r="A422" s="11"/>
      <c r="CG422" s="12"/>
    </row>
    <row r="423" spans="1:85" ht="15.75" customHeight="1">
      <c r="A423" s="11"/>
      <c r="CG423" s="12"/>
    </row>
    <row r="424" spans="1:85" ht="15.75" customHeight="1">
      <c r="A424" s="11"/>
      <c r="CG424" s="12"/>
    </row>
    <row r="425" spans="1:85" ht="15.75" customHeight="1">
      <c r="A425" s="11"/>
      <c r="CG425" s="12"/>
    </row>
    <row r="426" spans="1:85" ht="15.75" customHeight="1">
      <c r="A426" s="11"/>
      <c r="CG426" s="12"/>
    </row>
    <row r="427" spans="1:85" ht="15.75" customHeight="1">
      <c r="A427" s="11"/>
      <c r="CG427" s="12"/>
    </row>
    <row r="428" spans="1:85" ht="15.75" customHeight="1">
      <c r="A428" s="11"/>
      <c r="CG428" s="12"/>
    </row>
    <row r="429" spans="1:85" ht="15.75" customHeight="1">
      <c r="A429" s="11"/>
      <c r="CG429" s="12"/>
    </row>
    <row r="430" spans="1:85" ht="15.75" customHeight="1">
      <c r="A430" s="11"/>
      <c r="CG430" s="12"/>
    </row>
    <row r="431" spans="1:85" ht="15.75" customHeight="1">
      <c r="A431" s="11"/>
      <c r="CG431" s="12"/>
    </row>
    <row r="432" spans="1:85" ht="15.75" customHeight="1">
      <c r="A432" s="11"/>
      <c r="CG432" s="12"/>
    </row>
    <row r="433" spans="1:85" ht="15.75" customHeight="1">
      <c r="A433" s="11"/>
      <c r="CG433" s="12"/>
    </row>
    <row r="434" spans="1:85" ht="15.75" customHeight="1">
      <c r="A434" s="11"/>
      <c r="CG434" s="12"/>
    </row>
    <row r="435" spans="1:85" ht="15.75" customHeight="1">
      <c r="A435" s="11"/>
      <c r="CG435" s="12"/>
    </row>
    <row r="436" spans="1:85" ht="15.75" customHeight="1">
      <c r="A436" s="11"/>
      <c r="CG436" s="12"/>
    </row>
    <row r="437" spans="1:85" ht="15.75" customHeight="1">
      <c r="A437" s="11"/>
      <c r="CG437" s="12"/>
    </row>
    <row r="438" spans="1:85" ht="15.75" customHeight="1">
      <c r="A438" s="11"/>
      <c r="CG438" s="12"/>
    </row>
    <row r="439" spans="1:85" ht="15.75" customHeight="1">
      <c r="A439" s="11"/>
      <c r="CG439" s="12"/>
    </row>
    <row r="440" spans="1:85" ht="15.75" customHeight="1">
      <c r="A440" s="11"/>
      <c r="CG440" s="12"/>
    </row>
    <row r="441" spans="1:85" ht="15.75" customHeight="1">
      <c r="A441" s="11"/>
      <c r="CG441" s="12"/>
    </row>
    <row r="442" spans="1:85" ht="15.75" customHeight="1">
      <c r="A442" s="11"/>
      <c r="CG442" s="12"/>
    </row>
    <row r="443" spans="1:85" ht="15.75" customHeight="1">
      <c r="A443" s="11"/>
      <c r="CG443" s="12"/>
    </row>
    <row r="444" spans="1:85" ht="15.75" customHeight="1">
      <c r="A444" s="11"/>
      <c r="CG444" s="12"/>
    </row>
    <row r="445" spans="1:85" ht="15.75" customHeight="1">
      <c r="A445" s="11"/>
      <c r="CG445" s="12"/>
    </row>
    <row r="446" spans="1:85" ht="15.75" customHeight="1">
      <c r="A446" s="11"/>
      <c r="CG446" s="12"/>
    </row>
    <row r="447" spans="1:85" ht="15.75" customHeight="1">
      <c r="A447" s="11"/>
      <c r="CG447" s="12"/>
    </row>
    <row r="448" spans="1:85" ht="15.75" customHeight="1">
      <c r="A448" s="11"/>
      <c r="CG448" s="12"/>
    </row>
    <row r="449" spans="1:85" ht="15.75" customHeight="1">
      <c r="A449" s="11"/>
      <c r="CG449" s="12"/>
    </row>
    <row r="450" spans="1:85" ht="15.75" customHeight="1">
      <c r="A450" s="11"/>
      <c r="CG450" s="12"/>
    </row>
    <row r="451" spans="1:85" ht="15.75" customHeight="1">
      <c r="A451" s="11"/>
      <c r="CG451" s="12"/>
    </row>
    <row r="452" spans="1:85" ht="15.75" customHeight="1">
      <c r="A452" s="11"/>
      <c r="CG452" s="12"/>
    </row>
    <row r="453" spans="1:85" ht="15.75" customHeight="1">
      <c r="A453" s="11"/>
      <c r="CG453" s="12"/>
    </row>
    <row r="454" spans="1:85" ht="15.75" customHeight="1">
      <c r="A454" s="11"/>
      <c r="CG454" s="12"/>
    </row>
    <row r="455" spans="1:85" ht="15.75" customHeight="1">
      <c r="A455" s="11"/>
      <c r="CG455" s="12"/>
    </row>
    <row r="456" spans="1:85" ht="15.75" customHeight="1">
      <c r="A456" s="11"/>
      <c r="CG456" s="12"/>
    </row>
    <row r="457" spans="1:85" ht="15.75" customHeight="1">
      <c r="A457" s="11"/>
      <c r="CG457" s="12"/>
    </row>
    <row r="458" spans="1:85" ht="15.75" customHeight="1">
      <c r="A458" s="11"/>
      <c r="CG458" s="12"/>
    </row>
    <row r="459" spans="1:85" ht="15.75" customHeight="1">
      <c r="A459" s="11"/>
      <c r="CG459" s="12"/>
    </row>
    <row r="460" spans="1:85" ht="15.75" customHeight="1">
      <c r="A460" s="11"/>
      <c r="CG460" s="12"/>
    </row>
    <row r="461" spans="1:85" ht="15.75" customHeight="1">
      <c r="A461" s="11"/>
      <c r="CG461" s="12"/>
    </row>
    <row r="462" spans="1:85" ht="15.75" customHeight="1">
      <c r="A462" s="11"/>
      <c r="CG462" s="12"/>
    </row>
    <row r="463" spans="1:85" ht="15.75" customHeight="1">
      <c r="A463" s="11"/>
      <c r="CG463" s="12"/>
    </row>
    <row r="464" spans="1:85" ht="15.75" customHeight="1">
      <c r="A464" s="11"/>
      <c r="CG464" s="12"/>
    </row>
    <row r="465" spans="1:85" ht="15.75" customHeight="1">
      <c r="A465" s="11"/>
      <c r="CG465" s="12"/>
    </row>
    <row r="466" spans="1:85" ht="15.75" customHeight="1">
      <c r="A466" s="11"/>
      <c r="CG466" s="12"/>
    </row>
    <row r="467" spans="1:85" ht="15.75" customHeight="1">
      <c r="A467" s="11"/>
      <c r="CG467" s="12"/>
    </row>
    <row r="468" spans="1:85" ht="15.75" customHeight="1">
      <c r="A468" s="11"/>
      <c r="CG468" s="12"/>
    </row>
    <row r="469" spans="1:85" ht="15.75" customHeight="1">
      <c r="A469" s="11"/>
      <c r="CG469" s="12"/>
    </row>
    <row r="470" spans="1:85" ht="15.75" customHeight="1">
      <c r="A470" s="11"/>
      <c r="CG470" s="12"/>
    </row>
    <row r="471" spans="1:85" ht="15.75" customHeight="1">
      <c r="A471" s="11"/>
      <c r="CG471" s="12"/>
    </row>
    <row r="472" spans="1:85" ht="15.75" customHeight="1">
      <c r="A472" s="11"/>
      <c r="CG472" s="12"/>
    </row>
    <row r="473" spans="1:85" ht="15.75" customHeight="1">
      <c r="A473" s="11"/>
      <c r="CG473" s="12"/>
    </row>
    <row r="474" spans="1:85" ht="15.75" customHeight="1">
      <c r="A474" s="11"/>
      <c r="CG474" s="12"/>
    </row>
    <row r="475" spans="1:85" ht="15.75" customHeight="1">
      <c r="A475" s="11"/>
      <c r="CG475" s="12"/>
    </row>
    <row r="476" spans="1:85" ht="15.75" customHeight="1">
      <c r="A476" s="11"/>
      <c r="CG476" s="12"/>
    </row>
    <row r="477" spans="1:85" ht="15.75" customHeight="1">
      <c r="A477" s="11"/>
      <c r="CG477" s="12"/>
    </row>
    <row r="478" spans="1:85" ht="15.75" customHeight="1">
      <c r="A478" s="11"/>
      <c r="CG478" s="12"/>
    </row>
    <row r="479" spans="1:85" ht="15.75" customHeight="1">
      <c r="A479" s="11"/>
      <c r="CG479" s="12"/>
    </row>
    <row r="480" spans="1:85" ht="15.75" customHeight="1">
      <c r="A480" s="11"/>
      <c r="CG480" s="12"/>
    </row>
    <row r="481" spans="1:85" ht="15.75" customHeight="1">
      <c r="A481" s="11"/>
      <c r="CG481" s="12"/>
    </row>
    <row r="482" spans="1:85" ht="15.75" customHeight="1">
      <c r="A482" s="11"/>
      <c r="CG482" s="12"/>
    </row>
    <row r="483" spans="1:85" ht="15.75" customHeight="1">
      <c r="A483" s="11"/>
      <c r="CG483" s="12"/>
    </row>
    <row r="484" spans="1:85" ht="15.75" customHeight="1">
      <c r="A484" s="11"/>
      <c r="CG484" s="12"/>
    </row>
    <row r="485" spans="1:85" ht="15.75" customHeight="1">
      <c r="A485" s="11"/>
      <c r="CG485" s="12"/>
    </row>
    <row r="486" spans="1:85" ht="15.75" customHeight="1">
      <c r="A486" s="11"/>
      <c r="CG486" s="12"/>
    </row>
    <row r="487" spans="1:85" ht="15.75" customHeight="1">
      <c r="A487" s="11"/>
      <c r="CG487" s="12"/>
    </row>
    <row r="488" spans="1:85" ht="15.75" customHeight="1">
      <c r="A488" s="11"/>
      <c r="CG488" s="12"/>
    </row>
    <row r="489" spans="1:85" ht="15.75" customHeight="1">
      <c r="A489" s="11"/>
      <c r="CG489" s="12"/>
    </row>
    <row r="490" spans="1:85" ht="15.75" customHeight="1">
      <c r="A490" s="11"/>
      <c r="CG490" s="12"/>
    </row>
    <row r="491" spans="1:85" ht="15.75" customHeight="1">
      <c r="A491" s="11"/>
      <c r="CG491" s="12"/>
    </row>
    <row r="492" spans="1:85" ht="15.75" customHeight="1">
      <c r="A492" s="11"/>
      <c r="CG492" s="12"/>
    </row>
    <row r="493" spans="1:85" ht="15.75" customHeight="1">
      <c r="A493" s="11"/>
      <c r="CG493" s="12"/>
    </row>
    <row r="494" spans="1:85" ht="15.75" customHeight="1">
      <c r="A494" s="11"/>
      <c r="CG494" s="12"/>
    </row>
    <row r="495" spans="1:85" ht="15.75" customHeight="1">
      <c r="A495" s="11"/>
      <c r="CG495" s="12"/>
    </row>
    <row r="496" spans="1:85" ht="15.75" customHeight="1">
      <c r="A496" s="11"/>
      <c r="CG496" s="12"/>
    </row>
    <row r="497" spans="1:85" ht="15.75" customHeight="1">
      <c r="A497" s="11"/>
      <c r="CG497" s="12"/>
    </row>
    <row r="498" spans="1:85" ht="15.75" customHeight="1">
      <c r="A498" s="11"/>
      <c r="CG498" s="12"/>
    </row>
    <row r="499" spans="1:85" ht="15.75" customHeight="1">
      <c r="A499" s="11"/>
      <c r="CG499" s="12"/>
    </row>
    <row r="500" spans="1:85" ht="15.75" customHeight="1">
      <c r="A500" s="11"/>
      <c r="CG500" s="12"/>
    </row>
    <row r="501" spans="1:85" ht="15.75" customHeight="1">
      <c r="A501" s="11"/>
      <c r="CG501" s="12"/>
    </row>
    <row r="502" spans="1:85" ht="15.75" customHeight="1">
      <c r="A502" s="11"/>
      <c r="CG502" s="12"/>
    </row>
    <row r="503" spans="1:85" ht="15.75" customHeight="1">
      <c r="A503" s="11"/>
      <c r="CG503" s="12"/>
    </row>
    <row r="504" spans="1:85" ht="15.75" customHeight="1">
      <c r="A504" s="11"/>
      <c r="CG504" s="12"/>
    </row>
    <row r="505" spans="1:85" ht="15.75" customHeight="1">
      <c r="A505" s="11"/>
      <c r="CG505" s="12"/>
    </row>
    <row r="506" spans="1:85" ht="15.75" customHeight="1">
      <c r="A506" s="11"/>
      <c r="CG506" s="12"/>
    </row>
    <row r="507" spans="1:85" ht="15.75" customHeight="1">
      <c r="A507" s="11"/>
      <c r="CG507" s="12"/>
    </row>
    <row r="508" spans="1:85" ht="15.75" customHeight="1">
      <c r="A508" s="11"/>
      <c r="CG508" s="12"/>
    </row>
    <row r="509" spans="1:85" ht="15.75" customHeight="1">
      <c r="A509" s="11"/>
      <c r="CG509" s="12"/>
    </row>
    <row r="510" spans="1:85" ht="15.75" customHeight="1">
      <c r="A510" s="11"/>
      <c r="CG510" s="12"/>
    </row>
    <row r="511" spans="1:85" ht="15.75" customHeight="1">
      <c r="A511" s="11"/>
      <c r="CG511" s="12"/>
    </row>
    <row r="512" spans="1:85" ht="15.75" customHeight="1">
      <c r="A512" s="11"/>
      <c r="CG512" s="12"/>
    </row>
    <row r="513" spans="1:85" ht="15.75" customHeight="1">
      <c r="A513" s="11"/>
      <c r="CG513" s="12"/>
    </row>
    <row r="514" spans="1:85" ht="15.75" customHeight="1">
      <c r="A514" s="11"/>
      <c r="CG514" s="12"/>
    </row>
    <row r="515" spans="1:85" ht="15.75" customHeight="1">
      <c r="A515" s="11"/>
      <c r="CG515" s="12"/>
    </row>
    <row r="516" spans="1:85" ht="15.75" customHeight="1">
      <c r="A516" s="11"/>
      <c r="CG516" s="12"/>
    </row>
    <row r="517" spans="1:85" ht="15.75" customHeight="1">
      <c r="A517" s="11"/>
      <c r="CG517" s="12"/>
    </row>
    <row r="518" spans="1:85" ht="15.75" customHeight="1">
      <c r="A518" s="11"/>
      <c r="CG518" s="12"/>
    </row>
    <row r="519" spans="1:85" ht="15.75" customHeight="1">
      <c r="A519" s="11"/>
      <c r="CG519" s="12"/>
    </row>
    <row r="520" spans="1:85" ht="15.75" customHeight="1">
      <c r="A520" s="11"/>
      <c r="CG520" s="12"/>
    </row>
    <row r="521" spans="1:85" ht="15.75" customHeight="1">
      <c r="A521" s="11"/>
      <c r="CG521" s="12"/>
    </row>
    <row r="522" spans="1:85" ht="15.75" customHeight="1">
      <c r="A522" s="11"/>
      <c r="CG522" s="12"/>
    </row>
    <row r="523" spans="1:85" ht="15.75" customHeight="1">
      <c r="A523" s="11"/>
      <c r="CG523" s="12"/>
    </row>
    <row r="524" spans="1:85" ht="15.75" customHeight="1">
      <c r="A524" s="11"/>
      <c r="CG524" s="12"/>
    </row>
    <row r="525" spans="1:85" ht="15.75" customHeight="1">
      <c r="A525" s="11"/>
      <c r="CG525" s="12"/>
    </row>
    <row r="526" spans="1:85" ht="15.75" customHeight="1">
      <c r="A526" s="11"/>
      <c r="CG526" s="12"/>
    </row>
    <row r="527" spans="1:85" ht="15.75" customHeight="1">
      <c r="A527" s="11"/>
      <c r="CG527" s="12"/>
    </row>
    <row r="528" spans="1:85" ht="15.75" customHeight="1">
      <c r="A528" s="11"/>
      <c r="CG528" s="12"/>
    </row>
    <row r="529" spans="1:85" ht="15.75" customHeight="1">
      <c r="A529" s="11"/>
      <c r="CG529" s="12"/>
    </row>
    <row r="530" spans="1:85" ht="15.75" customHeight="1">
      <c r="A530" s="11"/>
      <c r="CG530" s="12"/>
    </row>
    <row r="531" spans="1:85" ht="15.75" customHeight="1">
      <c r="A531" s="11"/>
      <c r="CG531" s="12"/>
    </row>
    <row r="532" spans="1:85" ht="15.75" customHeight="1">
      <c r="A532" s="11"/>
      <c r="CG532" s="12"/>
    </row>
    <row r="533" spans="1:85" ht="15.75" customHeight="1">
      <c r="A533" s="11"/>
      <c r="CG533" s="12"/>
    </row>
    <row r="534" spans="1:85" ht="15.75" customHeight="1">
      <c r="A534" s="11"/>
      <c r="CG534" s="12"/>
    </row>
    <row r="535" spans="1:85" ht="15.75" customHeight="1">
      <c r="A535" s="11"/>
      <c r="CG535" s="12"/>
    </row>
    <row r="536" spans="1:85" ht="15.75" customHeight="1">
      <c r="A536" s="11"/>
      <c r="CG536" s="12"/>
    </row>
    <row r="537" spans="1:85" ht="15.75" customHeight="1">
      <c r="A537" s="11"/>
      <c r="CG537" s="12"/>
    </row>
    <row r="538" spans="1:85" ht="15.75" customHeight="1">
      <c r="A538" s="11"/>
      <c r="CG538" s="12"/>
    </row>
    <row r="539" spans="1:85" ht="15.75" customHeight="1">
      <c r="A539" s="11"/>
      <c r="CG539" s="12"/>
    </row>
    <row r="540" spans="1:85" ht="15.75" customHeight="1">
      <c r="A540" s="11"/>
      <c r="CG540" s="12"/>
    </row>
    <row r="541" spans="1:85" ht="15.75" customHeight="1">
      <c r="A541" s="11"/>
      <c r="CG541" s="12"/>
    </row>
    <row r="542" spans="1:85" ht="15.75" customHeight="1">
      <c r="A542" s="11"/>
      <c r="CG542" s="12"/>
    </row>
    <row r="543" spans="1:85" ht="15.75" customHeight="1">
      <c r="A543" s="11"/>
      <c r="CG543" s="12"/>
    </row>
    <row r="544" spans="1:85" ht="15.75" customHeight="1">
      <c r="A544" s="11"/>
      <c r="CG544" s="12"/>
    </row>
    <row r="545" spans="1:85" ht="15.75" customHeight="1">
      <c r="A545" s="11"/>
      <c r="CG545" s="12"/>
    </row>
    <row r="546" spans="1:85" ht="15.75" customHeight="1">
      <c r="A546" s="11"/>
      <c r="CG546" s="12"/>
    </row>
    <row r="547" spans="1:85" ht="15.75" customHeight="1">
      <c r="A547" s="11"/>
      <c r="CG547" s="12"/>
    </row>
    <row r="548" spans="1:85" ht="15.75" customHeight="1">
      <c r="A548" s="11"/>
      <c r="CG548" s="12"/>
    </row>
    <row r="549" spans="1:85" ht="15.75" customHeight="1">
      <c r="A549" s="11"/>
      <c r="CG549" s="12"/>
    </row>
    <row r="550" spans="1:85" ht="15.75" customHeight="1">
      <c r="A550" s="11"/>
      <c r="CG550" s="12"/>
    </row>
    <row r="551" spans="1:85" ht="15.75" customHeight="1">
      <c r="A551" s="11"/>
      <c r="CG551" s="12"/>
    </row>
    <row r="552" spans="1:85" ht="15.75" customHeight="1">
      <c r="A552" s="11"/>
      <c r="CG552" s="12"/>
    </row>
    <row r="553" spans="1:85" ht="15.75" customHeight="1">
      <c r="A553" s="11"/>
      <c r="CG553" s="12"/>
    </row>
    <row r="554" spans="1:85" ht="15.75" customHeight="1">
      <c r="A554" s="11"/>
      <c r="CG554" s="12"/>
    </row>
    <row r="555" spans="1:85" ht="15.75" customHeight="1">
      <c r="A555" s="11"/>
      <c r="CG555" s="12"/>
    </row>
    <row r="556" spans="1:85" ht="15.75" customHeight="1">
      <c r="A556" s="11"/>
      <c r="CG556" s="12"/>
    </row>
    <row r="557" spans="1:85" ht="15.75" customHeight="1">
      <c r="A557" s="11"/>
      <c r="CG557" s="12"/>
    </row>
    <row r="558" spans="1:85" ht="15.75" customHeight="1">
      <c r="A558" s="11"/>
      <c r="CG558" s="12"/>
    </row>
    <row r="559" spans="1:85" ht="15.75" customHeight="1">
      <c r="A559" s="11"/>
      <c r="CG559" s="12"/>
    </row>
    <row r="560" spans="1:85" ht="15.75" customHeight="1">
      <c r="A560" s="11"/>
      <c r="CG560" s="12"/>
    </row>
    <row r="561" spans="1:85" ht="15.75" customHeight="1">
      <c r="A561" s="11"/>
      <c r="CG561" s="12"/>
    </row>
    <row r="562" spans="1:85" ht="15.75" customHeight="1">
      <c r="A562" s="11"/>
      <c r="CG562" s="12"/>
    </row>
    <row r="563" spans="1:85" ht="15.75" customHeight="1">
      <c r="A563" s="11"/>
      <c r="CG563" s="12"/>
    </row>
    <row r="564" spans="1:85" ht="15.75" customHeight="1">
      <c r="A564" s="11"/>
      <c r="CG564" s="12"/>
    </row>
    <row r="565" spans="1:85" ht="15.75" customHeight="1">
      <c r="A565" s="11"/>
      <c r="CG565" s="12"/>
    </row>
    <row r="566" spans="1:85" ht="15.75" customHeight="1">
      <c r="A566" s="11"/>
      <c r="CG566" s="12"/>
    </row>
    <row r="567" spans="1:85" ht="15.75" customHeight="1">
      <c r="A567" s="11"/>
      <c r="CG567" s="12"/>
    </row>
    <row r="568" spans="1:85" ht="15.75" customHeight="1">
      <c r="A568" s="11"/>
      <c r="CG568" s="12"/>
    </row>
    <row r="569" spans="1:85" ht="15.75" customHeight="1">
      <c r="A569" s="11"/>
      <c r="CG569" s="12"/>
    </row>
    <row r="570" spans="1:85" ht="15.75" customHeight="1">
      <c r="A570" s="11"/>
      <c r="CG570" s="12"/>
    </row>
    <row r="571" spans="1:85" ht="15.75" customHeight="1">
      <c r="A571" s="11"/>
      <c r="CG571" s="12"/>
    </row>
    <row r="572" spans="1:85" ht="15.75" customHeight="1">
      <c r="A572" s="11"/>
      <c r="CG572" s="12"/>
    </row>
    <row r="573" spans="1:85" ht="15.75" customHeight="1">
      <c r="A573" s="11"/>
      <c r="CG573" s="12"/>
    </row>
    <row r="574" spans="1:85" ht="15.75" customHeight="1">
      <c r="A574" s="11"/>
      <c r="CG574" s="12"/>
    </row>
    <row r="575" spans="1:85" ht="15.75" customHeight="1">
      <c r="A575" s="11"/>
      <c r="CG575" s="12"/>
    </row>
    <row r="576" spans="1:85" ht="15.75" customHeight="1">
      <c r="A576" s="11"/>
      <c r="CG576" s="12"/>
    </row>
    <row r="577" spans="1:85" ht="15.75" customHeight="1">
      <c r="A577" s="11"/>
      <c r="CG577" s="12"/>
    </row>
    <row r="578" spans="1:85" ht="15.75" customHeight="1">
      <c r="A578" s="11"/>
      <c r="CG578" s="12"/>
    </row>
    <row r="579" spans="1:85" ht="15.75" customHeight="1">
      <c r="A579" s="11"/>
      <c r="CG579" s="12"/>
    </row>
    <row r="580" spans="1:85" ht="15.75" customHeight="1">
      <c r="A580" s="11"/>
      <c r="CG580" s="12"/>
    </row>
    <row r="581" spans="1:85" ht="15.75" customHeight="1">
      <c r="A581" s="11"/>
      <c r="CG581" s="12"/>
    </row>
    <row r="582" spans="1:85" ht="15.75" customHeight="1">
      <c r="A582" s="11"/>
      <c r="CG582" s="12"/>
    </row>
    <row r="583" spans="1:85" ht="15.75" customHeight="1">
      <c r="A583" s="11"/>
      <c r="CG583" s="12"/>
    </row>
    <row r="584" spans="1:85" ht="15.75" customHeight="1">
      <c r="A584" s="11"/>
      <c r="CG584" s="12"/>
    </row>
    <row r="585" spans="1:85" ht="15.75" customHeight="1">
      <c r="A585" s="11"/>
      <c r="CG585" s="12"/>
    </row>
    <row r="586" spans="1:85" ht="15.75" customHeight="1">
      <c r="A586" s="11"/>
      <c r="CG586" s="12"/>
    </row>
    <row r="587" spans="1:85" ht="15.75" customHeight="1">
      <c r="A587" s="11"/>
      <c r="CG587" s="12"/>
    </row>
    <row r="588" spans="1:85" ht="15.75" customHeight="1">
      <c r="A588" s="11"/>
      <c r="CG588" s="12"/>
    </row>
    <row r="589" spans="1:85" ht="15.75" customHeight="1">
      <c r="A589" s="11"/>
      <c r="CG589" s="12"/>
    </row>
    <row r="590" spans="1:85" ht="15.75" customHeight="1">
      <c r="A590" s="11"/>
      <c r="CG590" s="12"/>
    </row>
    <row r="591" spans="1:85" ht="15.75" customHeight="1">
      <c r="A591" s="11"/>
      <c r="CG591" s="12"/>
    </row>
    <row r="592" spans="1:85" ht="15.75" customHeight="1">
      <c r="A592" s="11"/>
      <c r="CG592" s="12"/>
    </row>
    <row r="593" spans="1:85" ht="15.75" customHeight="1">
      <c r="A593" s="11"/>
      <c r="CG593" s="12"/>
    </row>
    <row r="594" spans="1:85" ht="15.75" customHeight="1">
      <c r="A594" s="11"/>
      <c r="CG594" s="12"/>
    </row>
    <row r="595" spans="1:85" ht="15.75" customHeight="1">
      <c r="A595" s="11"/>
      <c r="CG595" s="12"/>
    </row>
    <row r="596" spans="1:85" ht="15.75" customHeight="1">
      <c r="A596" s="11"/>
      <c r="CG596" s="12"/>
    </row>
    <row r="597" spans="1:85" ht="15.75" customHeight="1">
      <c r="A597" s="11"/>
      <c r="CG597" s="12"/>
    </row>
    <row r="598" spans="1:85" ht="15.75" customHeight="1">
      <c r="A598" s="11"/>
      <c r="CG598" s="12"/>
    </row>
    <row r="599" spans="1:85" ht="15.75" customHeight="1">
      <c r="A599" s="11"/>
      <c r="CG599" s="12"/>
    </row>
    <row r="600" spans="1:85" ht="15.75" customHeight="1">
      <c r="A600" s="11"/>
      <c r="CG600" s="12"/>
    </row>
    <row r="601" spans="1:85" ht="15.75" customHeight="1">
      <c r="A601" s="11"/>
      <c r="CG601" s="12"/>
    </row>
    <row r="602" spans="1:85" ht="15.75" customHeight="1">
      <c r="A602" s="11"/>
      <c r="CG602" s="12"/>
    </row>
    <row r="603" spans="1:85" ht="15.75" customHeight="1">
      <c r="A603" s="11"/>
      <c r="CG603" s="12"/>
    </row>
    <row r="604" spans="1:85" ht="15.75" customHeight="1">
      <c r="A604" s="11"/>
      <c r="CG604" s="12"/>
    </row>
    <row r="605" spans="1:85" ht="15.75" customHeight="1">
      <c r="A605" s="11"/>
      <c r="CG605" s="12"/>
    </row>
    <row r="606" spans="1:85" ht="15.75" customHeight="1">
      <c r="A606" s="11"/>
      <c r="CG606" s="12"/>
    </row>
    <row r="607" spans="1:85" ht="15.75" customHeight="1">
      <c r="A607" s="11"/>
      <c r="CG607" s="12"/>
    </row>
    <row r="608" spans="1:85" ht="15.75" customHeight="1">
      <c r="A608" s="11"/>
      <c r="CG608" s="12"/>
    </row>
    <row r="609" spans="1:85" ht="15.75" customHeight="1">
      <c r="A609" s="11"/>
      <c r="CG609" s="12"/>
    </row>
    <row r="610" spans="1:85" ht="15.75" customHeight="1">
      <c r="A610" s="11"/>
      <c r="CG610" s="12"/>
    </row>
    <row r="611" spans="1:85" ht="15.75" customHeight="1">
      <c r="A611" s="11"/>
      <c r="CG611" s="12"/>
    </row>
    <row r="612" spans="1:85" ht="15.75" customHeight="1">
      <c r="A612" s="11"/>
      <c r="CG612" s="12"/>
    </row>
    <row r="613" spans="1:85" ht="15.75" customHeight="1">
      <c r="A613" s="11"/>
      <c r="CG613" s="12"/>
    </row>
    <row r="614" spans="1:85" ht="15.75" customHeight="1">
      <c r="A614" s="11"/>
      <c r="CG614" s="12"/>
    </row>
    <row r="615" spans="1:85" ht="15.75" customHeight="1">
      <c r="A615" s="11"/>
      <c r="CG615" s="12"/>
    </row>
    <row r="616" spans="1:85" ht="15.75" customHeight="1">
      <c r="A616" s="11"/>
      <c r="CG616" s="12"/>
    </row>
    <row r="617" spans="1:85" ht="15.75" customHeight="1">
      <c r="A617" s="11"/>
      <c r="CG617" s="12"/>
    </row>
    <row r="618" spans="1:85" ht="15.75" customHeight="1">
      <c r="A618" s="11"/>
      <c r="CG618" s="12"/>
    </row>
    <row r="619" spans="1:85" ht="15.75" customHeight="1">
      <c r="A619" s="11"/>
      <c r="CG619" s="12"/>
    </row>
    <row r="620" spans="1:85" ht="15.75" customHeight="1">
      <c r="A620" s="11"/>
      <c r="CG620" s="12"/>
    </row>
    <row r="621" spans="1:85" ht="15.75" customHeight="1">
      <c r="A621" s="11"/>
      <c r="CG621" s="12"/>
    </row>
    <row r="622" spans="1:85" ht="15.75" customHeight="1">
      <c r="A622" s="11"/>
      <c r="CG622" s="12"/>
    </row>
    <row r="623" spans="1:85" ht="15.75" customHeight="1">
      <c r="A623" s="11"/>
      <c r="CG623" s="12"/>
    </row>
    <row r="624" spans="1:85" ht="15.75" customHeight="1">
      <c r="A624" s="11"/>
      <c r="CG624" s="12"/>
    </row>
    <row r="625" spans="1:85" ht="15.75" customHeight="1">
      <c r="A625" s="11"/>
      <c r="CG625" s="12"/>
    </row>
    <row r="626" spans="1:85" ht="15.75" customHeight="1">
      <c r="A626" s="11"/>
      <c r="CG626" s="12"/>
    </row>
    <row r="627" spans="1:85" ht="15.75" customHeight="1">
      <c r="A627" s="11"/>
      <c r="CG627" s="12"/>
    </row>
    <row r="628" spans="1:85" ht="15.75" customHeight="1">
      <c r="A628" s="11"/>
      <c r="CG628" s="12"/>
    </row>
    <row r="629" spans="1:85" ht="15.75" customHeight="1">
      <c r="A629" s="11"/>
      <c r="CG629" s="12"/>
    </row>
    <row r="630" spans="1:85" ht="15.75" customHeight="1">
      <c r="A630" s="11"/>
      <c r="CG630" s="12"/>
    </row>
    <row r="631" spans="1:85" ht="15.75" customHeight="1">
      <c r="A631" s="11"/>
      <c r="CG631" s="12"/>
    </row>
    <row r="632" spans="1:85" ht="15.75" customHeight="1">
      <c r="A632" s="11"/>
      <c r="CG632" s="12"/>
    </row>
    <row r="633" spans="1:85" ht="15.75" customHeight="1">
      <c r="A633" s="11"/>
      <c r="CG633" s="12"/>
    </row>
    <row r="634" spans="1:85" ht="15.75" customHeight="1">
      <c r="A634" s="11"/>
      <c r="CG634" s="12"/>
    </row>
    <row r="635" spans="1:85" ht="15.75" customHeight="1">
      <c r="A635" s="11"/>
      <c r="CG635" s="12"/>
    </row>
    <row r="636" spans="1:85" ht="15.75" customHeight="1">
      <c r="A636" s="11"/>
      <c r="CG636" s="12"/>
    </row>
    <row r="637" spans="1:85" ht="15.75" customHeight="1">
      <c r="A637" s="11"/>
      <c r="CG637" s="12"/>
    </row>
    <row r="638" spans="1:85" ht="15.75" customHeight="1">
      <c r="A638" s="11"/>
      <c r="CG638" s="12"/>
    </row>
    <row r="639" spans="1:85" ht="15.75" customHeight="1">
      <c r="A639" s="11"/>
      <c r="CG639" s="12"/>
    </row>
    <row r="640" spans="1:85" ht="15.75" customHeight="1">
      <c r="A640" s="11"/>
      <c r="CG640" s="12"/>
    </row>
    <row r="641" spans="1:85" ht="15.75" customHeight="1">
      <c r="A641" s="11"/>
      <c r="CG641" s="12"/>
    </row>
    <row r="642" spans="1:85" ht="15.75" customHeight="1">
      <c r="A642" s="11"/>
      <c r="CG642" s="12"/>
    </row>
    <row r="643" spans="1:85" ht="15.75" customHeight="1">
      <c r="A643" s="11"/>
      <c r="CG643" s="12"/>
    </row>
    <row r="644" spans="1:85" ht="15.75" customHeight="1">
      <c r="A644" s="11"/>
      <c r="CG644" s="12"/>
    </row>
    <row r="645" spans="1:85" ht="15.75" customHeight="1">
      <c r="A645" s="11"/>
      <c r="CG645" s="12"/>
    </row>
    <row r="646" spans="1:85" ht="15.75" customHeight="1">
      <c r="A646" s="11"/>
      <c r="CG646" s="12"/>
    </row>
    <row r="647" spans="1:85" ht="15.75" customHeight="1">
      <c r="A647" s="11"/>
      <c r="CG647" s="12"/>
    </row>
    <row r="648" spans="1:85" ht="15.75" customHeight="1">
      <c r="A648" s="11"/>
      <c r="CG648" s="12"/>
    </row>
    <row r="649" spans="1:85" ht="15.75" customHeight="1">
      <c r="A649" s="11"/>
      <c r="CG649" s="12"/>
    </row>
    <row r="650" spans="1:85" ht="15.75" customHeight="1">
      <c r="A650" s="11"/>
      <c r="CG650" s="12"/>
    </row>
    <row r="651" spans="1:85" ht="15.75" customHeight="1">
      <c r="A651" s="11"/>
      <c r="CG651" s="12"/>
    </row>
    <row r="652" spans="1:85" ht="15.75" customHeight="1">
      <c r="A652" s="11"/>
      <c r="CG652" s="12"/>
    </row>
    <row r="653" spans="1:85" ht="15.75" customHeight="1">
      <c r="A653" s="11"/>
      <c r="CG653" s="12"/>
    </row>
    <row r="654" spans="1:85" ht="15.75" customHeight="1">
      <c r="A654" s="11"/>
      <c r="CG654" s="12"/>
    </row>
    <row r="655" spans="1:85" ht="15.75" customHeight="1">
      <c r="A655" s="11"/>
      <c r="CG655" s="12"/>
    </row>
    <row r="656" spans="1:85" ht="15.75" customHeight="1">
      <c r="A656" s="11"/>
      <c r="CG656" s="12"/>
    </row>
    <row r="657" spans="1:85" ht="15.75" customHeight="1">
      <c r="A657" s="11"/>
      <c r="CG657" s="12"/>
    </row>
    <row r="658" spans="1:85" ht="15.75" customHeight="1">
      <c r="A658" s="11"/>
      <c r="CG658" s="12"/>
    </row>
    <row r="659" spans="1:85" ht="15.75" customHeight="1">
      <c r="A659" s="11"/>
      <c r="CG659" s="12"/>
    </row>
    <row r="660" spans="1:85" ht="15.75" customHeight="1">
      <c r="A660" s="11"/>
      <c r="CG660" s="12"/>
    </row>
    <row r="661" spans="1:85" ht="15.75" customHeight="1">
      <c r="A661" s="11"/>
      <c r="CG661" s="12"/>
    </row>
    <row r="662" spans="1:85" ht="15.75" customHeight="1">
      <c r="A662" s="11"/>
      <c r="CG662" s="12"/>
    </row>
    <row r="663" spans="1:85" ht="15.75" customHeight="1">
      <c r="A663" s="11"/>
      <c r="CG663" s="12"/>
    </row>
    <row r="664" spans="1:85" ht="15.75" customHeight="1">
      <c r="A664" s="11"/>
      <c r="CG664" s="12"/>
    </row>
    <row r="665" spans="1:85" ht="15.75" customHeight="1">
      <c r="A665" s="11"/>
      <c r="CG665" s="12"/>
    </row>
    <row r="666" spans="1:85" ht="15.75" customHeight="1">
      <c r="A666" s="11"/>
      <c r="CG666" s="12"/>
    </row>
    <row r="667" spans="1:85" ht="15.75" customHeight="1">
      <c r="A667" s="11"/>
      <c r="CG667" s="12"/>
    </row>
    <row r="668" spans="1:85" ht="15.75" customHeight="1">
      <c r="A668" s="11"/>
      <c r="CG668" s="12"/>
    </row>
    <row r="669" spans="1:85" ht="15.75" customHeight="1">
      <c r="A669" s="11"/>
      <c r="CG669" s="12"/>
    </row>
    <row r="670" spans="1:85" ht="15.75" customHeight="1">
      <c r="A670" s="11"/>
      <c r="CG670" s="12"/>
    </row>
    <row r="671" spans="1:85" ht="15.75" customHeight="1">
      <c r="A671" s="11"/>
      <c r="CG671" s="12"/>
    </row>
    <row r="672" spans="1:85" ht="15.75" customHeight="1">
      <c r="A672" s="11"/>
      <c r="CG672" s="12"/>
    </row>
    <row r="673" spans="1:85" ht="15.75" customHeight="1">
      <c r="A673" s="11"/>
      <c r="CG673" s="12"/>
    </row>
    <row r="674" spans="1:85" ht="15.75" customHeight="1">
      <c r="A674" s="11"/>
      <c r="CG674" s="12"/>
    </row>
    <row r="675" spans="1:85" ht="15.75" customHeight="1">
      <c r="A675" s="11"/>
      <c r="CG675" s="12"/>
    </row>
    <row r="676" spans="1:85" ht="15.75" customHeight="1">
      <c r="A676" s="11"/>
      <c r="CG676" s="12"/>
    </row>
    <row r="677" spans="1:85" ht="15.75" customHeight="1">
      <c r="A677" s="11"/>
      <c r="CG677" s="12"/>
    </row>
    <row r="678" spans="1:85" ht="15.75" customHeight="1">
      <c r="A678" s="11"/>
      <c r="CG678" s="12"/>
    </row>
    <row r="679" spans="1:85" ht="15.75" customHeight="1">
      <c r="A679" s="11"/>
      <c r="CG679" s="12"/>
    </row>
    <row r="680" spans="1:85" ht="15.75" customHeight="1">
      <c r="A680" s="11"/>
      <c r="CG680" s="12"/>
    </row>
    <row r="681" spans="1:85" ht="15.75" customHeight="1">
      <c r="A681" s="11"/>
      <c r="CG681" s="12"/>
    </row>
    <row r="682" spans="1:85" ht="15.75" customHeight="1">
      <c r="A682" s="11"/>
      <c r="CG682" s="12"/>
    </row>
    <row r="683" spans="1:85" ht="15.75" customHeight="1">
      <c r="A683" s="11"/>
      <c r="CG683" s="12"/>
    </row>
    <row r="684" spans="1:85" ht="15.75" customHeight="1">
      <c r="A684" s="11"/>
      <c r="CG684" s="12"/>
    </row>
    <row r="685" spans="1:85" ht="15.75" customHeight="1">
      <c r="A685" s="11"/>
      <c r="CG685" s="12"/>
    </row>
    <row r="686" spans="1:85" ht="15.75" customHeight="1">
      <c r="A686" s="11"/>
      <c r="CG686" s="12"/>
    </row>
    <row r="687" spans="1:85" ht="15.75" customHeight="1">
      <c r="A687" s="11"/>
      <c r="CG687" s="12"/>
    </row>
    <row r="688" spans="1:85" ht="15.75" customHeight="1">
      <c r="A688" s="11"/>
      <c r="CG688" s="12"/>
    </row>
    <row r="689" spans="1:85" ht="15.75" customHeight="1">
      <c r="A689" s="11"/>
      <c r="CG689" s="12"/>
    </row>
    <row r="690" spans="1:85" ht="15.75" customHeight="1">
      <c r="A690" s="11"/>
      <c r="CG690" s="12"/>
    </row>
    <row r="691" spans="1:85" ht="15.75" customHeight="1">
      <c r="A691" s="11"/>
      <c r="CG691" s="12"/>
    </row>
    <row r="692" spans="1:85" ht="15.75" customHeight="1">
      <c r="A692" s="11"/>
      <c r="CG692" s="12"/>
    </row>
    <row r="693" spans="1:85" ht="15.75" customHeight="1">
      <c r="A693" s="11"/>
      <c r="CG693" s="12"/>
    </row>
    <row r="694" spans="1:85" ht="15.75" customHeight="1">
      <c r="A694" s="11"/>
      <c r="CG694" s="12"/>
    </row>
    <row r="695" spans="1:85" ht="15.75" customHeight="1">
      <c r="A695" s="11"/>
      <c r="CG695" s="12"/>
    </row>
    <row r="696" spans="1:85" ht="15.75" customHeight="1">
      <c r="A696" s="11"/>
      <c r="CG696" s="12"/>
    </row>
    <row r="697" spans="1:85" ht="15.75" customHeight="1">
      <c r="A697" s="11"/>
      <c r="CG697" s="12"/>
    </row>
    <row r="698" spans="1:85" ht="15.75" customHeight="1">
      <c r="A698" s="11"/>
      <c r="CG698" s="12"/>
    </row>
    <row r="699" spans="1:85" ht="15.75" customHeight="1">
      <c r="A699" s="11"/>
      <c r="CG699" s="12"/>
    </row>
    <row r="700" spans="1:85" ht="15.75" customHeight="1">
      <c r="A700" s="11"/>
      <c r="CG700" s="12"/>
    </row>
    <row r="701" spans="1:85" ht="15.75" customHeight="1">
      <c r="A701" s="11"/>
      <c r="CG701" s="12"/>
    </row>
    <row r="702" spans="1:85" ht="15.75" customHeight="1">
      <c r="A702" s="11"/>
      <c r="CG702" s="12"/>
    </row>
    <row r="703" spans="1:85" ht="15.75" customHeight="1">
      <c r="A703" s="11"/>
      <c r="CG703" s="12"/>
    </row>
    <row r="704" spans="1:85" ht="15.75" customHeight="1">
      <c r="A704" s="11"/>
      <c r="CG704" s="12"/>
    </row>
    <row r="705" spans="1:85" ht="15.75" customHeight="1">
      <c r="A705" s="11"/>
      <c r="CG705" s="12"/>
    </row>
    <row r="706" spans="1:85" ht="15.75" customHeight="1">
      <c r="A706" s="11"/>
      <c r="CG706" s="12"/>
    </row>
    <row r="707" spans="1:85" ht="15.75" customHeight="1">
      <c r="A707" s="11"/>
      <c r="CG707" s="12"/>
    </row>
    <row r="708" spans="1:85" ht="15.75" customHeight="1">
      <c r="A708" s="11"/>
      <c r="CG708" s="12"/>
    </row>
    <row r="709" spans="1:85" ht="15.75" customHeight="1">
      <c r="A709" s="11"/>
      <c r="CG709" s="12"/>
    </row>
    <row r="710" spans="1:85" ht="15.75" customHeight="1">
      <c r="A710" s="11"/>
      <c r="CG710" s="12"/>
    </row>
    <row r="711" spans="1:85" ht="15.75" customHeight="1">
      <c r="A711" s="11"/>
      <c r="CG711" s="12"/>
    </row>
    <row r="712" spans="1:85" ht="15.75" customHeight="1">
      <c r="A712" s="11"/>
      <c r="CG712" s="12"/>
    </row>
    <row r="713" spans="1:85" ht="15.75" customHeight="1">
      <c r="A713" s="11"/>
      <c r="CG713" s="12"/>
    </row>
    <row r="714" spans="1:85" ht="15.75" customHeight="1">
      <c r="A714" s="11"/>
      <c r="CG714" s="12"/>
    </row>
    <row r="715" spans="1:85" ht="15.75" customHeight="1">
      <c r="A715" s="11"/>
      <c r="CG715" s="12"/>
    </row>
    <row r="716" spans="1:85" ht="15.75" customHeight="1">
      <c r="A716" s="11"/>
      <c r="CG716" s="12"/>
    </row>
    <row r="717" spans="1:85" ht="15.75" customHeight="1">
      <c r="A717" s="11"/>
      <c r="CG717" s="12"/>
    </row>
    <row r="718" spans="1:85" ht="15.75" customHeight="1">
      <c r="A718" s="11"/>
      <c r="CG718" s="12"/>
    </row>
    <row r="719" spans="1:85" ht="15.75" customHeight="1">
      <c r="A719" s="11"/>
      <c r="CG719" s="12"/>
    </row>
    <row r="720" spans="1:85" ht="15.75" customHeight="1">
      <c r="A720" s="11"/>
      <c r="CG720" s="12"/>
    </row>
    <row r="721" spans="1:85" ht="15.75" customHeight="1">
      <c r="A721" s="11"/>
      <c r="CG721" s="12"/>
    </row>
    <row r="722" spans="1:85" ht="15.75" customHeight="1">
      <c r="A722" s="11"/>
      <c r="CG722" s="12"/>
    </row>
    <row r="723" spans="1:85" ht="15.75" customHeight="1">
      <c r="A723" s="11"/>
      <c r="CG723" s="12"/>
    </row>
    <row r="724" spans="1:85" ht="15.75" customHeight="1">
      <c r="A724" s="11"/>
      <c r="CG724" s="12"/>
    </row>
    <row r="725" spans="1:85" ht="15.75" customHeight="1">
      <c r="A725" s="11"/>
      <c r="CG725" s="12"/>
    </row>
    <row r="726" spans="1:85" ht="15.75" customHeight="1">
      <c r="A726" s="11"/>
      <c r="CG726" s="12"/>
    </row>
    <row r="727" spans="1:85" ht="15.75" customHeight="1">
      <c r="A727" s="11"/>
      <c r="CG727" s="12"/>
    </row>
    <row r="728" spans="1:85" ht="15.75" customHeight="1">
      <c r="A728" s="11"/>
      <c r="CG728" s="12"/>
    </row>
    <row r="729" spans="1:85" ht="15.75" customHeight="1">
      <c r="A729" s="11"/>
      <c r="CG729" s="12"/>
    </row>
    <row r="730" spans="1:85" ht="15.75" customHeight="1">
      <c r="A730" s="11"/>
      <c r="CG730" s="12"/>
    </row>
    <row r="731" spans="1:85" ht="15.75" customHeight="1">
      <c r="A731" s="11"/>
      <c r="CG731" s="12"/>
    </row>
    <row r="732" spans="1:85" ht="15.75" customHeight="1">
      <c r="A732" s="11"/>
      <c r="CG732" s="12"/>
    </row>
    <row r="733" spans="1:85" ht="15.75" customHeight="1">
      <c r="A733" s="11"/>
      <c r="CG733" s="12"/>
    </row>
    <row r="734" spans="1:85" ht="15.75" customHeight="1">
      <c r="A734" s="11"/>
      <c r="CG734" s="12"/>
    </row>
    <row r="735" spans="1:85" ht="15.75" customHeight="1">
      <c r="A735" s="11"/>
      <c r="CG735" s="12"/>
    </row>
    <row r="736" spans="1:85" ht="15.75" customHeight="1">
      <c r="A736" s="11"/>
      <c r="CG736" s="12"/>
    </row>
    <row r="737" spans="1:85" ht="15.75" customHeight="1">
      <c r="A737" s="11"/>
      <c r="CG737" s="12"/>
    </row>
    <row r="738" spans="1:85" ht="15.75" customHeight="1">
      <c r="A738" s="11"/>
      <c r="CG738" s="12"/>
    </row>
    <row r="739" spans="1:85" ht="15.75" customHeight="1">
      <c r="A739" s="11"/>
      <c r="CG739" s="12"/>
    </row>
    <row r="740" spans="1:85" ht="15.75" customHeight="1">
      <c r="A740" s="11"/>
      <c r="CG740" s="12"/>
    </row>
    <row r="741" spans="1:85" ht="15.75" customHeight="1">
      <c r="A741" s="11"/>
      <c r="CG741" s="12"/>
    </row>
    <row r="742" spans="1:85" ht="15.75" customHeight="1">
      <c r="A742" s="11"/>
      <c r="CG742" s="12"/>
    </row>
    <row r="743" spans="1:85" ht="15.75" customHeight="1">
      <c r="A743" s="11"/>
      <c r="CG743" s="12"/>
    </row>
    <row r="744" spans="1:85" ht="15.75" customHeight="1">
      <c r="A744" s="11"/>
      <c r="CG744" s="12"/>
    </row>
    <row r="745" spans="1:85" ht="15.75" customHeight="1">
      <c r="A745" s="11"/>
      <c r="CG745" s="12"/>
    </row>
    <row r="746" spans="1:85" ht="15.75" customHeight="1">
      <c r="A746" s="11"/>
      <c r="CG746" s="12"/>
    </row>
    <row r="747" spans="1:85" ht="15.75" customHeight="1">
      <c r="A747" s="11"/>
      <c r="CG747" s="12"/>
    </row>
    <row r="748" spans="1:85" ht="15.75" customHeight="1">
      <c r="A748" s="11"/>
      <c r="CG748" s="12"/>
    </row>
    <row r="749" spans="1:85" ht="15.75" customHeight="1">
      <c r="A749" s="11"/>
      <c r="CG749" s="12"/>
    </row>
    <row r="750" spans="1:85" ht="15.75" customHeight="1">
      <c r="A750" s="11"/>
      <c r="CG750" s="12"/>
    </row>
    <row r="751" spans="1:85" ht="15.75" customHeight="1">
      <c r="A751" s="11"/>
      <c r="CG751" s="12"/>
    </row>
    <row r="752" spans="1:85" ht="15.75" customHeight="1">
      <c r="A752" s="11"/>
      <c r="CG752" s="12"/>
    </row>
    <row r="753" spans="1:85" ht="15.75" customHeight="1">
      <c r="A753" s="11"/>
      <c r="CG753" s="12"/>
    </row>
    <row r="754" spans="1:85" ht="15.75" customHeight="1">
      <c r="A754" s="11"/>
      <c r="CG754" s="12"/>
    </row>
    <row r="755" spans="1:85" ht="15.75" customHeight="1">
      <c r="A755" s="11"/>
      <c r="CG755" s="12"/>
    </row>
    <row r="756" spans="1:85" ht="15.75" customHeight="1">
      <c r="A756" s="11"/>
      <c r="CG756" s="12"/>
    </row>
    <row r="757" spans="1:85" ht="15.75" customHeight="1">
      <c r="A757" s="11"/>
      <c r="CG757" s="12"/>
    </row>
    <row r="758" spans="1:85" ht="15.75" customHeight="1">
      <c r="A758" s="11"/>
      <c r="CG758" s="12"/>
    </row>
    <row r="759" spans="1:85" ht="15.75" customHeight="1">
      <c r="A759" s="11"/>
      <c r="CG759" s="12"/>
    </row>
    <row r="760" spans="1:85" ht="15.75" customHeight="1">
      <c r="A760" s="11"/>
      <c r="CG760" s="12"/>
    </row>
    <row r="761" spans="1:85" ht="15.75" customHeight="1">
      <c r="A761" s="11"/>
      <c r="CG761" s="12"/>
    </row>
    <row r="762" spans="1:85" ht="15.75" customHeight="1">
      <c r="A762" s="11"/>
      <c r="CG762" s="12"/>
    </row>
    <row r="763" spans="1:85" ht="15.75" customHeight="1">
      <c r="A763" s="11"/>
      <c r="CG763" s="12"/>
    </row>
    <row r="764" spans="1:85" ht="15.75" customHeight="1">
      <c r="A764" s="11"/>
      <c r="CG764" s="12"/>
    </row>
    <row r="765" spans="1:85" ht="15.75" customHeight="1">
      <c r="A765" s="11"/>
      <c r="CG765" s="12"/>
    </row>
    <row r="766" spans="1:85" ht="15.75" customHeight="1">
      <c r="A766" s="11"/>
      <c r="CG766" s="12"/>
    </row>
    <row r="767" spans="1:85" ht="15.75" customHeight="1">
      <c r="A767" s="11"/>
      <c r="CG767" s="12"/>
    </row>
    <row r="768" spans="1:85" ht="15.75" customHeight="1">
      <c r="A768" s="11"/>
      <c r="CG768" s="12"/>
    </row>
    <row r="769" spans="1:85" ht="15.75" customHeight="1">
      <c r="A769" s="11"/>
      <c r="CG769" s="12"/>
    </row>
    <row r="770" spans="1:85" ht="15.75" customHeight="1">
      <c r="A770" s="11"/>
      <c r="CG770" s="12"/>
    </row>
    <row r="771" spans="1:85" ht="15.75" customHeight="1">
      <c r="A771" s="11"/>
      <c r="CG771" s="12"/>
    </row>
    <row r="772" spans="1:85" ht="15.75" customHeight="1">
      <c r="A772" s="11"/>
      <c r="CG772" s="12"/>
    </row>
    <row r="773" spans="1:85" ht="15.75" customHeight="1">
      <c r="A773" s="11"/>
      <c r="CG773" s="12"/>
    </row>
    <row r="774" spans="1:85" ht="15.75" customHeight="1">
      <c r="A774" s="11"/>
      <c r="CG774" s="12"/>
    </row>
    <row r="775" spans="1:85" ht="15.75" customHeight="1">
      <c r="A775" s="11"/>
      <c r="CG775" s="12"/>
    </row>
    <row r="776" spans="1:85" ht="15.75" customHeight="1">
      <c r="A776" s="11"/>
      <c r="CG776" s="12"/>
    </row>
    <row r="777" spans="1:85" ht="15.75" customHeight="1">
      <c r="A777" s="11"/>
      <c r="CG777" s="12"/>
    </row>
    <row r="778" spans="1:85" ht="15.75" customHeight="1">
      <c r="A778" s="11"/>
      <c r="CG778" s="12"/>
    </row>
    <row r="779" spans="1:85" ht="15.75" customHeight="1">
      <c r="A779" s="11"/>
      <c r="CG779" s="12"/>
    </row>
    <row r="780" spans="1:85" ht="15.75" customHeight="1">
      <c r="A780" s="11"/>
      <c r="CG780" s="12"/>
    </row>
    <row r="781" spans="1:85" ht="15.75" customHeight="1">
      <c r="A781" s="11"/>
      <c r="CG781" s="12"/>
    </row>
    <row r="782" spans="1:85" ht="15.75" customHeight="1">
      <c r="A782" s="11"/>
      <c r="CG782" s="12"/>
    </row>
    <row r="783" spans="1:85" ht="15.75" customHeight="1">
      <c r="A783" s="11"/>
      <c r="CG783" s="12"/>
    </row>
    <row r="784" spans="1:85" ht="15.75" customHeight="1">
      <c r="A784" s="11"/>
      <c r="CG784" s="12"/>
    </row>
    <row r="785" spans="1:85" ht="15.75" customHeight="1">
      <c r="A785" s="11"/>
      <c r="CG785" s="12"/>
    </row>
    <row r="786" spans="1:85" ht="15.75" customHeight="1">
      <c r="A786" s="11"/>
      <c r="CG786" s="12"/>
    </row>
    <row r="787" spans="1:85" ht="15.75" customHeight="1">
      <c r="A787" s="11"/>
      <c r="CG787" s="12"/>
    </row>
    <row r="788" spans="1:85" ht="15.75" customHeight="1">
      <c r="A788" s="11"/>
      <c r="CG788" s="12"/>
    </row>
    <row r="789" spans="1:85" ht="15.75" customHeight="1">
      <c r="A789" s="11"/>
      <c r="CG789" s="12"/>
    </row>
    <row r="790" spans="1:85" ht="15.75" customHeight="1">
      <c r="A790" s="11"/>
      <c r="CG790" s="12"/>
    </row>
    <row r="791" spans="1:85" ht="15.75" customHeight="1">
      <c r="A791" s="11"/>
      <c r="CG791" s="12"/>
    </row>
    <row r="792" spans="1:85" ht="15.75" customHeight="1">
      <c r="A792" s="11"/>
      <c r="CG792" s="12"/>
    </row>
    <row r="793" spans="1:85" ht="15.75" customHeight="1">
      <c r="A793" s="11"/>
      <c r="CG793" s="12"/>
    </row>
    <row r="794" spans="1:85" ht="15.75" customHeight="1">
      <c r="A794" s="11"/>
      <c r="CG794" s="12"/>
    </row>
    <row r="795" spans="1:85" ht="15.75" customHeight="1">
      <c r="A795" s="11"/>
      <c r="CG795" s="12"/>
    </row>
    <row r="796" spans="1:85" ht="15.75" customHeight="1">
      <c r="A796" s="11"/>
      <c r="CG796" s="12"/>
    </row>
    <row r="797" spans="1:85" ht="15.75" customHeight="1">
      <c r="A797" s="11"/>
      <c r="CG797" s="12"/>
    </row>
    <row r="798" spans="1:85" ht="15.75" customHeight="1">
      <c r="A798" s="11"/>
      <c r="CG798" s="12"/>
    </row>
    <row r="799" spans="1:85" ht="15.75" customHeight="1">
      <c r="A799" s="11"/>
      <c r="CG799" s="12"/>
    </row>
    <row r="800" spans="1:85" ht="15.75" customHeight="1">
      <c r="A800" s="11"/>
      <c r="CG800" s="12"/>
    </row>
    <row r="801" spans="1:85" ht="15.75" customHeight="1">
      <c r="A801" s="11"/>
      <c r="CG801" s="12"/>
    </row>
    <row r="802" spans="1:85" ht="15.75" customHeight="1">
      <c r="A802" s="11"/>
      <c r="CG802" s="12"/>
    </row>
    <row r="803" spans="1:85" ht="15.75" customHeight="1">
      <c r="A803" s="11"/>
      <c r="CG803" s="12"/>
    </row>
    <row r="804" spans="1:85" ht="15.75" customHeight="1">
      <c r="A804" s="11"/>
      <c r="CG804" s="12"/>
    </row>
    <row r="805" spans="1:85" ht="15.75" customHeight="1">
      <c r="A805" s="11"/>
      <c r="CG805" s="12"/>
    </row>
    <row r="806" spans="1:85" ht="15.75" customHeight="1">
      <c r="A806" s="11"/>
      <c r="CG806" s="12"/>
    </row>
    <row r="807" spans="1:85" ht="15.75" customHeight="1">
      <c r="A807" s="11"/>
      <c r="CG807" s="12"/>
    </row>
    <row r="808" spans="1:85" ht="15.75" customHeight="1">
      <c r="A808" s="11"/>
      <c r="CG808" s="12"/>
    </row>
    <row r="809" spans="1:85" ht="15.75" customHeight="1">
      <c r="A809" s="11"/>
      <c r="CG809" s="12"/>
    </row>
    <row r="810" spans="1:85" ht="15.75" customHeight="1">
      <c r="A810" s="11"/>
      <c r="CG810" s="12"/>
    </row>
    <row r="811" spans="1:85" ht="15.75" customHeight="1">
      <c r="A811" s="11"/>
      <c r="CG811" s="12"/>
    </row>
    <row r="812" spans="1:85" ht="15.75" customHeight="1">
      <c r="A812" s="11"/>
      <c r="CG812" s="12"/>
    </row>
    <row r="813" spans="1:85" ht="15.75" customHeight="1">
      <c r="A813" s="11"/>
      <c r="CG813" s="12"/>
    </row>
    <row r="814" spans="1:85" ht="15.75" customHeight="1">
      <c r="A814" s="11"/>
      <c r="CG814" s="12"/>
    </row>
    <row r="815" spans="1:85" ht="15.75" customHeight="1">
      <c r="A815" s="11"/>
      <c r="CG815" s="12"/>
    </row>
    <row r="816" spans="1:85" ht="15.75" customHeight="1">
      <c r="A816" s="11"/>
      <c r="CG816" s="12"/>
    </row>
    <row r="817" spans="1:85" ht="15.75" customHeight="1">
      <c r="A817" s="11"/>
      <c r="CG817" s="12"/>
    </row>
    <row r="818" spans="1:85" ht="15.75" customHeight="1">
      <c r="A818" s="11"/>
      <c r="CG818" s="12"/>
    </row>
    <row r="819" spans="1:85" ht="15.75" customHeight="1">
      <c r="A819" s="11"/>
      <c r="CG819" s="12"/>
    </row>
    <row r="820" spans="1:85" ht="15.75" customHeight="1">
      <c r="A820" s="11"/>
      <c r="CG820" s="12"/>
    </row>
    <row r="821" spans="1:85" ht="15.75" customHeight="1">
      <c r="A821" s="11"/>
      <c r="CG821" s="12"/>
    </row>
    <row r="822" spans="1:85" ht="15.75" customHeight="1">
      <c r="A822" s="11"/>
      <c r="CG822" s="12"/>
    </row>
    <row r="823" spans="1:85" ht="15.75" customHeight="1">
      <c r="A823" s="11"/>
      <c r="CG823" s="12"/>
    </row>
    <row r="824" spans="1:85" ht="15.75" customHeight="1">
      <c r="A824" s="11"/>
      <c r="CG824" s="12"/>
    </row>
    <row r="825" spans="1:85" ht="15.75" customHeight="1">
      <c r="A825" s="11"/>
      <c r="CG825" s="12"/>
    </row>
    <row r="826" spans="1:85" ht="15.75" customHeight="1">
      <c r="A826" s="11"/>
      <c r="CG826" s="12"/>
    </row>
    <row r="827" spans="1:85" ht="15.75" customHeight="1">
      <c r="A827" s="11"/>
      <c r="CG827" s="12"/>
    </row>
    <row r="828" spans="1:85" ht="15.75" customHeight="1">
      <c r="A828" s="11"/>
      <c r="CG828" s="12"/>
    </row>
    <row r="829" spans="1:85" ht="15.75" customHeight="1">
      <c r="A829" s="11"/>
      <c r="CG829" s="12"/>
    </row>
    <row r="830" spans="1:85" ht="15.75" customHeight="1">
      <c r="A830" s="11"/>
      <c r="CG830" s="12"/>
    </row>
    <row r="831" spans="1:85" ht="15.75" customHeight="1">
      <c r="A831" s="11"/>
      <c r="CG831" s="12"/>
    </row>
    <row r="832" spans="1:85" ht="15.75" customHeight="1">
      <c r="A832" s="11"/>
      <c r="CG832" s="12"/>
    </row>
    <row r="833" spans="1:85" ht="15.75" customHeight="1">
      <c r="A833" s="11"/>
      <c r="CG833" s="12"/>
    </row>
    <row r="834" spans="1:85" ht="15.75" customHeight="1">
      <c r="A834" s="11"/>
      <c r="CG834" s="12"/>
    </row>
    <row r="835" spans="1:85" ht="15.75" customHeight="1">
      <c r="A835" s="11"/>
      <c r="CG835" s="12"/>
    </row>
    <row r="836" spans="1:85" ht="15.75" customHeight="1">
      <c r="A836" s="11"/>
      <c r="CG836" s="12"/>
    </row>
    <row r="837" spans="1:85" ht="15.75" customHeight="1">
      <c r="A837" s="11"/>
      <c r="CG837" s="12"/>
    </row>
    <row r="838" spans="1:85" ht="15.75" customHeight="1">
      <c r="A838" s="11"/>
      <c r="CG838" s="12"/>
    </row>
    <row r="839" spans="1:85" ht="15.75" customHeight="1">
      <c r="A839" s="11"/>
      <c r="CG839" s="12"/>
    </row>
    <row r="840" spans="1:85" ht="15.75" customHeight="1">
      <c r="A840" s="11"/>
      <c r="CG840" s="12"/>
    </row>
    <row r="841" spans="1:85" ht="15.75" customHeight="1">
      <c r="A841" s="11"/>
      <c r="CG841" s="12"/>
    </row>
    <row r="842" spans="1:85" ht="15.75" customHeight="1">
      <c r="A842" s="11"/>
      <c r="CG842" s="12"/>
    </row>
    <row r="843" spans="1:85" ht="15.75" customHeight="1">
      <c r="A843" s="11"/>
      <c r="CG843" s="12"/>
    </row>
    <row r="844" spans="1:85" ht="15.75" customHeight="1">
      <c r="A844" s="11"/>
      <c r="CG844" s="12"/>
    </row>
    <row r="845" spans="1:85" ht="15.75" customHeight="1">
      <c r="A845" s="11"/>
      <c r="CG845" s="12"/>
    </row>
    <row r="846" spans="1:85" ht="15.75" customHeight="1">
      <c r="A846" s="11"/>
      <c r="CG846" s="12"/>
    </row>
    <row r="847" spans="1:85" ht="15.75" customHeight="1">
      <c r="A847" s="11"/>
      <c r="CG847" s="12"/>
    </row>
    <row r="848" spans="1:85" ht="15.75" customHeight="1">
      <c r="A848" s="11"/>
      <c r="CG848" s="12"/>
    </row>
    <row r="849" spans="1:85" ht="15.75" customHeight="1">
      <c r="A849" s="11"/>
      <c r="CG849" s="12"/>
    </row>
    <row r="850" spans="1:85" ht="15.75" customHeight="1">
      <c r="A850" s="11"/>
      <c r="CG850" s="12"/>
    </row>
    <row r="851" spans="1:85" ht="15.75" customHeight="1">
      <c r="A851" s="11"/>
      <c r="CG851" s="12"/>
    </row>
    <row r="852" spans="1:85" ht="15.75" customHeight="1">
      <c r="A852" s="11"/>
      <c r="CG852" s="12"/>
    </row>
    <row r="853" spans="1:85" ht="15.75" customHeight="1">
      <c r="A853" s="11"/>
      <c r="CG853" s="12"/>
    </row>
    <row r="854" spans="1:85" ht="15.75" customHeight="1">
      <c r="A854" s="11"/>
      <c r="CG854" s="12"/>
    </row>
    <row r="855" spans="1:85" ht="15.75" customHeight="1">
      <c r="A855" s="11"/>
      <c r="CG855" s="12"/>
    </row>
    <row r="856" spans="1:85" ht="15.75" customHeight="1">
      <c r="A856" s="11"/>
      <c r="CG856" s="12"/>
    </row>
    <row r="857" spans="1:85" ht="15.75" customHeight="1">
      <c r="A857" s="11"/>
      <c r="CG857" s="12"/>
    </row>
    <row r="858" spans="1:85" ht="15.75" customHeight="1">
      <c r="A858" s="11"/>
      <c r="CG858" s="12"/>
    </row>
    <row r="859" spans="1:85" ht="15.75" customHeight="1">
      <c r="A859" s="11"/>
      <c r="CG859" s="12"/>
    </row>
    <row r="860" spans="1:85" ht="15.75" customHeight="1">
      <c r="A860" s="11"/>
      <c r="CG860" s="12"/>
    </row>
    <row r="861" spans="1:85" ht="15.75" customHeight="1">
      <c r="A861" s="11"/>
      <c r="CG861" s="12"/>
    </row>
    <row r="862" spans="1:85" ht="15.75" customHeight="1">
      <c r="A862" s="11"/>
      <c r="CG862" s="12"/>
    </row>
    <row r="863" spans="1:85" ht="15.75" customHeight="1">
      <c r="A863" s="11"/>
      <c r="CG863" s="12"/>
    </row>
    <row r="864" spans="1:85" ht="15.75" customHeight="1">
      <c r="A864" s="11"/>
      <c r="CG864" s="12"/>
    </row>
    <row r="865" spans="1:85" ht="15.75" customHeight="1">
      <c r="A865" s="11"/>
      <c r="CG865" s="12"/>
    </row>
    <row r="866" spans="1:85" ht="15.75" customHeight="1">
      <c r="A866" s="11"/>
      <c r="CG866" s="12"/>
    </row>
    <row r="867" spans="1:85" ht="15.75" customHeight="1">
      <c r="A867" s="11"/>
      <c r="CG867" s="12"/>
    </row>
    <row r="868" spans="1:85" ht="15.75" customHeight="1">
      <c r="A868" s="11"/>
      <c r="CG868" s="12"/>
    </row>
    <row r="869" spans="1:85" ht="15.75" customHeight="1">
      <c r="A869" s="11"/>
      <c r="CG869" s="12"/>
    </row>
    <row r="870" spans="1:85" ht="15.75" customHeight="1">
      <c r="A870" s="11"/>
      <c r="CG870" s="12"/>
    </row>
    <row r="871" spans="1:85" ht="15.75" customHeight="1">
      <c r="A871" s="11"/>
      <c r="CG871" s="12"/>
    </row>
    <row r="872" spans="1:85" ht="15.75" customHeight="1">
      <c r="A872" s="11"/>
      <c r="CG872" s="12"/>
    </row>
    <row r="873" spans="1:85" ht="15.75" customHeight="1">
      <c r="A873" s="11"/>
      <c r="CG873" s="12"/>
    </row>
    <row r="874" spans="1:85" ht="15.75" customHeight="1">
      <c r="A874" s="11"/>
      <c r="CG874" s="12"/>
    </row>
    <row r="875" spans="1:85" ht="15.75" customHeight="1">
      <c r="A875" s="11"/>
      <c r="CG875" s="12"/>
    </row>
    <row r="876" spans="1:85" ht="15.75" customHeight="1">
      <c r="A876" s="11"/>
      <c r="CG876" s="12"/>
    </row>
    <row r="877" spans="1:85" ht="15.75" customHeight="1">
      <c r="A877" s="11"/>
      <c r="CG877" s="12"/>
    </row>
    <row r="878" spans="1:85" ht="15.75" customHeight="1">
      <c r="A878" s="11"/>
      <c r="CG878" s="12"/>
    </row>
    <row r="879" spans="1:85" ht="15.75" customHeight="1">
      <c r="A879" s="11"/>
      <c r="CG879" s="12"/>
    </row>
    <row r="880" spans="1:85" ht="15.75" customHeight="1">
      <c r="A880" s="11"/>
      <c r="CG880" s="12"/>
    </row>
    <row r="881" spans="1:85" ht="15.75" customHeight="1">
      <c r="A881" s="11"/>
      <c r="CG881" s="12"/>
    </row>
    <row r="882" spans="1:85" ht="15.75" customHeight="1">
      <c r="A882" s="11"/>
      <c r="CG882" s="12"/>
    </row>
    <row r="883" spans="1:85" ht="15.75" customHeight="1">
      <c r="A883" s="11"/>
      <c r="CG883" s="12"/>
    </row>
    <row r="884" spans="1:85" ht="15.75" customHeight="1">
      <c r="A884" s="11"/>
      <c r="CG884" s="12"/>
    </row>
    <row r="885" spans="1:85" ht="15.75" customHeight="1">
      <c r="A885" s="11"/>
      <c r="CG885" s="12"/>
    </row>
    <row r="886" spans="1:85" ht="15.75" customHeight="1">
      <c r="A886" s="11"/>
      <c r="CG886" s="12"/>
    </row>
    <row r="887" spans="1:85" ht="15.75" customHeight="1">
      <c r="A887" s="11"/>
      <c r="CG887" s="12"/>
    </row>
    <row r="888" spans="1:85" ht="15.75" customHeight="1">
      <c r="A888" s="11"/>
      <c r="CG888" s="12"/>
    </row>
    <row r="889" spans="1:85" ht="15.75" customHeight="1">
      <c r="A889" s="11"/>
      <c r="CG889" s="12"/>
    </row>
    <row r="890" spans="1:85" ht="15.75" customHeight="1">
      <c r="A890" s="11"/>
      <c r="CG890" s="12"/>
    </row>
    <row r="891" spans="1:85" ht="15.75" customHeight="1">
      <c r="A891" s="11"/>
      <c r="CG891" s="12"/>
    </row>
    <row r="892" spans="1:85" ht="15.75" customHeight="1">
      <c r="A892" s="11"/>
      <c r="CG892" s="12"/>
    </row>
    <row r="893" spans="1:85" ht="15.75" customHeight="1">
      <c r="A893" s="11"/>
      <c r="CG893" s="12"/>
    </row>
    <row r="894" spans="1:85" ht="15.75" customHeight="1">
      <c r="A894" s="11"/>
      <c r="CG894" s="12"/>
    </row>
    <row r="895" spans="1:85" ht="15.75" customHeight="1">
      <c r="A895" s="11"/>
      <c r="CG895" s="12"/>
    </row>
    <row r="896" spans="1:85" ht="15.75" customHeight="1">
      <c r="A896" s="11"/>
      <c r="CG896" s="12"/>
    </row>
    <row r="897" spans="1:85" ht="15.75" customHeight="1">
      <c r="A897" s="11"/>
      <c r="CG897" s="12"/>
    </row>
    <row r="898" spans="1:85" ht="15.75" customHeight="1">
      <c r="A898" s="11"/>
      <c r="CG898" s="12"/>
    </row>
    <row r="899" spans="1:85" ht="15.75" customHeight="1">
      <c r="A899" s="11"/>
      <c r="CG899" s="12"/>
    </row>
    <row r="900" spans="1:85" ht="15.75" customHeight="1">
      <c r="A900" s="11"/>
      <c r="CG900" s="12"/>
    </row>
    <row r="901" spans="1:85" ht="15.75" customHeight="1">
      <c r="A901" s="11"/>
      <c r="CG901" s="12"/>
    </row>
    <row r="902" spans="1:85" ht="15.75" customHeight="1">
      <c r="A902" s="11"/>
      <c r="CG902" s="12"/>
    </row>
    <row r="903" spans="1:85" ht="15.75" customHeight="1">
      <c r="A903" s="11"/>
      <c r="CG903" s="12"/>
    </row>
    <row r="904" spans="1:85" ht="15.75" customHeight="1">
      <c r="A904" s="11"/>
      <c r="CG904" s="12"/>
    </row>
    <row r="905" spans="1:85" ht="15.75" customHeight="1">
      <c r="A905" s="11"/>
      <c r="CG905" s="12"/>
    </row>
    <row r="906" spans="1:85" ht="15.75" customHeight="1">
      <c r="A906" s="11"/>
      <c r="CG906" s="12"/>
    </row>
    <row r="907" spans="1:85" ht="15.75" customHeight="1">
      <c r="A907" s="11"/>
      <c r="CG907" s="12"/>
    </row>
    <row r="908" spans="1:85" ht="15.75" customHeight="1">
      <c r="A908" s="11"/>
      <c r="CG908" s="12"/>
    </row>
    <row r="909" spans="1:85" ht="15.75" customHeight="1">
      <c r="A909" s="11"/>
      <c r="CG909" s="12"/>
    </row>
    <row r="910" spans="1:85" ht="15.75" customHeight="1">
      <c r="A910" s="11"/>
      <c r="CG910" s="12"/>
    </row>
    <row r="911" spans="1:85" ht="15.75" customHeight="1">
      <c r="A911" s="11"/>
      <c r="CG911" s="12"/>
    </row>
    <row r="912" spans="1:85" ht="15.75" customHeight="1">
      <c r="A912" s="11"/>
      <c r="CG912" s="12"/>
    </row>
    <row r="913" spans="1:85" ht="15.75" customHeight="1">
      <c r="A913" s="11"/>
      <c r="CG913" s="12"/>
    </row>
    <row r="914" spans="1:85" ht="15.75" customHeight="1">
      <c r="A914" s="11"/>
      <c r="CG914" s="12"/>
    </row>
    <row r="915" spans="1:85" ht="15.75" customHeight="1">
      <c r="A915" s="11"/>
      <c r="CG915" s="12"/>
    </row>
    <row r="916" spans="1:85" ht="15.75" customHeight="1">
      <c r="A916" s="11"/>
      <c r="CG916" s="12"/>
    </row>
    <row r="917" spans="1:85" ht="15.75" customHeight="1">
      <c r="A917" s="11"/>
      <c r="CG917" s="12"/>
    </row>
    <row r="918" spans="1:85" ht="15.75" customHeight="1">
      <c r="A918" s="11"/>
      <c r="CG918" s="12"/>
    </row>
    <row r="919" spans="1:85" ht="15.75" customHeight="1">
      <c r="A919" s="11"/>
      <c r="CG919" s="12"/>
    </row>
    <row r="920" spans="1:85" ht="15.75" customHeight="1">
      <c r="A920" s="11"/>
      <c r="CG920" s="12"/>
    </row>
    <row r="921" spans="1:85" ht="15.75" customHeight="1">
      <c r="A921" s="11"/>
      <c r="CG921" s="12"/>
    </row>
    <row r="922" spans="1:85" ht="15.75" customHeight="1">
      <c r="A922" s="11"/>
      <c r="CG922" s="12"/>
    </row>
    <row r="923" spans="1:85" ht="15.75" customHeight="1">
      <c r="A923" s="11"/>
      <c r="CG923" s="12"/>
    </row>
    <row r="924" spans="1:85" ht="15.75" customHeight="1">
      <c r="A924" s="11"/>
      <c r="CG924" s="12"/>
    </row>
    <row r="925" spans="1:85" ht="15.75" customHeight="1">
      <c r="A925" s="11"/>
      <c r="CG925" s="12"/>
    </row>
    <row r="926" spans="1:85" ht="15.75" customHeight="1">
      <c r="A926" s="11"/>
      <c r="CG926" s="12"/>
    </row>
    <row r="927" spans="1:85" ht="15.75" customHeight="1">
      <c r="A927" s="11"/>
      <c r="CG927" s="12"/>
    </row>
    <row r="928" spans="1:85" ht="15.75" customHeight="1">
      <c r="A928" s="11"/>
      <c r="CG928" s="12"/>
    </row>
    <row r="929" spans="1:85" ht="15.75" customHeight="1">
      <c r="A929" s="11"/>
      <c r="CG929" s="12"/>
    </row>
    <row r="930" spans="1:85" ht="15.75" customHeight="1">
      <c r="A930" s="11"/>
      <c r="CG930" s="12"/>
    </row>
    <row r="931" spans="1:85" ht="15.75" customHeight="1">
      <c r="A931" s="11"/>
      <c r="CG931" s="12"/>
    </row>
    <row r="932" spans="1:85" ht="15.75" customHeight="1">
      <c r="A932" s="11"/>
      <c r="CG932" s="12"/>
    </row>
    <row r="933" spans="1:85" ht="15.75" customHeight="1">
      <c r="A933" s="11"/>
      <c r="CG933" s="12"/>
    </row>
    <row r="934" spans="1:85" ht="15.75" customHeight="1">
      <c r="A934" s="11"/>
      <c r="CG934" s="12"/>
    </row>
    <row r="935" spans="1:85" ht="15.75" customHeight="1">
      <c r="A935" s="11"/>
      <c r="CG935" s="12"/>
    </row>
    <row r="936" spans="1:85" ht="15.75" customHeight="1">
      <c r="A936" s="11"/>
      <c r="CG936" s="12"/>
    </row>
    <row r="937" spans="1:85" ht="15.75" customHeight="1">
      <c r="A937" s="11"/>
      <c r="CG937" s="12"/>
    </row>
    <row r="938" spans="1:85" ht="15.75" customHeight="1">
      <c r="A938" s="11"/>
      <c r="CG938" s="12"/>
    </row>
    <row r="939" spans="1:85" ht="15.75" customHeight="1">
      <c r="A939" s="11"/>
      <c r="CG939" s="12"/>
    </row>
    <row r="940" spans="1:85" ht="15.75" customHeight="1">
      <c r="A940" s="11"/>
      <c r="CG940" s="12"/>
    </row>
    <row r="941" spans="1:85" ht="15.75" customHeight="1">
      <c r="A941" s="11"/>
      <c r="CG941" s="12"/>
    </row>
    <row r="942" spans="1:85" ht="15.75" customHeight="1">
      <c r="A942" s="11"/>
      <c r="CG942" s="12"/>
    </row>
    <row r="943" spans="1:85" ht="15.75" customHeight="1">
      <c r="A943" s="11"/>
      <c r="CG943" s="12"/>
    </row>
    <row r="944" spans="1:85" ht="15.75" customHeight="1">
      <c r="A944" s="11"/>
      <c r="CG944" s="12"/>
    </row>
    <row r="945" spans="1:85" ht="15.75" customHeight="1">
      <c r="A945" s="11"/>
      <c r="CG945" s="12"/>
    </row>
    <row r="946" spans="1:85" ht="15.75" customHeight="1">
      <c r="A946" s="11"/>
      <c r="CG946" s="12"/>
    </row>
    <row r="947" spans="1:85" ht="15.75" customHeight="1">
      <c r="A947" s="11"/>
      <c r="CG947" s="12"/>
    </row>
    <row r="948" spans="1:85" ht="15.75" customHeight="1">
      <c r="A948" s="11"/>
      <c r="CG948" s="12"/>
    </row>
    <row r="949" spans="1:85" ht="15.75" customHeight="1">
      <c r="A949" s="11"/>
      <c r="CG949" s="12"/>
    </row>
    <row r="950" spans="1:85" ht="15.75" customHeight="1">
      <c r="A950" s="11"/>
      <c r="CG950" s="12"/>
    </row>
    <row r="951" spans="1:85" ht="15.75" customHeight="1">
      <c r="A951" s="11"/>
      <c r="CG951" s="12"/>
    </row>
    <row r="952" spans="1:85" ht="15.75" customHeight="1">
      <c r="A952" s="11"/>
      <c r="CG952" s="12"/>
    </row>
    <row r="953" spans="1:85" ht="15.75" customHeight="1">
      <c r="A953" s="11"/>
      <c r="CG953" s="12"/>
    </row>
    <row r="954" spans="1:85" ht="15.75" customHeight="1">
      <c r="A954" s="11"/>
      <c r="CG954" s="12"/>
    </row>
    <row r="955" spans="1:85" ht="15.75" customHeight="1">
      <c r="A955" s="11"/>
      <c r="CG955" s="12"/>
    </row>
    <row r="956" spans="1:85" ht="15.75" customHeight="1">
      <c r="A956" s="11"/>
      <c r="CG956" s="12"/>
    </row>
    <row r="957" spans="1:85" ht="15.75" customHeight="1">
      <c r="A957" s="11"/>
      <c r="CG957" s="12"/>
    </row>
    <row r="958" spans="1:85" ht="15.75" customHeight="1">
      <c r="A958" s="11"/>
      <c r="CG958" s="12"/>
    </row>
    <row r="959" spans="1:85" ht="15.75" customHeight="1">
      <c r="A959" s="11"/>
      <c r="CG959" s="12"/>
    </row>
    <row r="960" spans="1:85" ht="15.75" customHeight="1">
      <c r="A960" s="11"/>
      <c r="CG960" s="12"/>
    </row>
    <row r="961" spans="1:85" ht="15.75" customHeight="1">
      <c r="A961" s="11"/>
      <c r="CG961" s="12"/>
    </row>
    <row r="962" spans="1:85" ht="15.75" customHeight="1">
      <c r="A962" s="11"/>
      <c r="CG962" s="12"/>
    </row>
    <row r="963" spans="1:85" ht="15.75" customHeight="1">
      <c r="A963" s="11"/>
      <c r="CG963" s="12"/>
    </row>
    <row r="964" spans="1:85" ht="15.75" customHeight="1">
      <c r="A964" s="11"/>
      <c r="CG964" s="12"/>
    </row>
    <row r="965" spans="1:85" ht="15.75" customHeight="1">
      <c r="A965" s="11"/>
      <c r="CG965" s="12"/>
    </row>
    <row r="966" spans="1:85" ht="15.75" customHeight="1">
      <c r="A966" s="11"/>
      <c r="CG966" s="12"/>
    </row>
    <row r="967" spans="1:85" ht="15.75" customHeight="1">
      <c r="A967" s="11"/>
      <c r="CG967" s="12"/>
    </row>
    <row r="968" spans="1:85" ht="15.75" customHeight="1">
      <c r="A968" s="11"/>
      <c r="CG968" s="12"/>
    </row>
    <row r="969" spans="1:85" ht="15.75" customHeight="1">
      <c r="A969" s="11"/>
      <c r="CG969" s="12"/>
    </row>
    <row r="970" spans="1:85" ht="15.75" customHeight="1">
      <c r="A970" s="11"/>
      <c r="CG970" s="12"/>
    </row>
    <row r="971" spans="1:85" ht="15.75" customHeight="1">
      <c r="A971" s="11"/>
      <c r="CG971" s="12"/>
    </row>
    <row r="972" spans="1:85" ht="15.75" customHeight="1">
      <c r="A972" s="11"/>
      <c r="CG972" s="12"/>
    </row>
    <row r="973" spans="1:85" ht="15.75" customHeight="1">
      <c r="A973" s="11"/>
      <c r="CG973" s="12"/>
    </row>
    <row r="974" spans="1:85" ht="15.75" customHeight="1">
      <c r="A974" s="11"/>
      <c r="CG974" s="12"/>
    </row>
    <row r="975" spans="1:85" ht="15.75" customHeight="1">
      <c r="A975" s="11"/>
      <c r="CG975" s="12"/>
    </row>
    <row r="976" spans="1:85" ht="15.75" customHeight="1">
      <c r="A976" s="11"/>
      <c r="CG976" s="12"/>
    </row>
    <row r="977" spans="1:85" ht="15.75" customHeight="1">
      <c r="A977" s="11"/>
      <c r="CG977" s="12"/>
    </row>
    <row r="978" spans="1:85" ht="15.75" customHeight="1">
      <c r="A978" s="11"/>
      <c r="CG978" s="12"/>
    </row>
    <row r="979" spans="1:85" ht="15.75" customHeight="1">
      <c r="A979" s="11"/>
      <c r="CG979" s="12"/>
    </row>
    <row r="980" spans="1:85" ht="15.75" customHeight="1">
      <c r="A980" s="11"/>
      <c r="CG980" s="12"/>
    </row>
    <row r="981" spans="1:85" ht="15.75" customHeight="1">
      <c r="A981" s="11"/>
      <c r="CG981" s="12"/>
    </row>
    <row r="982" spans="1:85" ht="15.75" customHeight="1">
      <c r="A982" s="11"/>
      <c r="CG982" s="12"/>
    </row>
    <row r="983" spans="1:85" ht="15.75" customHeight="1">
      <c r="A983" s="11"/>
      <c r="CG983" s="12"/>
    </row>
    <row r="984" spans="1:85" ht="15.75" customHeight="1">
      <c r="A984" s="11"/>
      <c r="CG984" s="12"/>
    </row>
    <row r="985" spans="1:85" ht="15.75" customHeight="1">
      <c r="A985" s="11"/>
      <c r="CG985" s="12"/>
    </row>
    <row r="986" spans="1:85" ht="15.75" customHeight="1">
      <c r="A986" s="11"/>
      <c r="CG986" s="12"/>
    </row>
    <row r="987" spans="1:85" ht="15.75" customHeight="1">
      <c r="A987" s="11"/>
      <c r="CG987" s="12"/>
    </row>
    <row r="988" spans="1:85" ht="15.75" customHeight="1">
      <c r="A988" s="11"/>
      <c r="CG988" s="12"/>
    </row>
    <row r="989" spans="1:85" ht="15.75" customHeight="1">
      <c r="A989" s="11"/>
      <c r="CG989" s="12"/>
    </row>
    <row r="990" spans="1:85" ht="15.75" customHeight="1">
      <c r="A990" s="11"/>
      <c r="CG990" s="12"/>
    </row>
    <row r="991" spans="1:85" ht="15.75" customHeight="1">
      <c r="A991" s="11"/>
      <c r="CG991" s="12"/>
    </row>
    <row r="992" spans="1:85" ht="15.75" customHeight="1">
      <c r="A992" s="11"/>
      <c r="CG992" s="12"/>
    </row>
    <row r="993" spans="1:85" ht="15.75" customHeight="1">
      <c r="A993" s="11"/>
      <c r="CG993" s="12"/>
    </row>
    <row r="994" spans="1:85" ht="15.75" customHeight="1">
      <c r="A994" s="11"/>
      <c r="CG994" s="12"/>
    </row>
    <row r="995" spans="1:85" ht="15.75" customHeight="1">
      <c r="A995" s="11"/>
      <c r="CG995" s="12"/>
    </row>
    <row r="996" spans="1:85" ht="15.75" customHeight="1">
      <c r="A996" s="11"/>
      <c r="CG996" s="12"/>
    </row>
    <row r="997" spans="1:85" ht="15.75" customHeight="1">
      <c r="A997" s="11"/>
      <c r="CG997" s="12"/>
    </row>
    <row r="998" spans="1:85" ht="15.75" customHeight="1">
      <c r="A998" s="11"/>
      <c r="CG998" s="12"/>
    </row>
    <row r="999" spans="1:85" ht="15.75" customHeight="1">
      <c r="A999" s="11"/>
      <c r="CG999" s="12"/>
    </row>
    <row r="1000" spans="1:85" ht="15.75" customHeight="1">
      <c r="A1000" s="11"/>
      <c r="CG1000" s="1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8"/>
  <sheetViews>
    <sheetView workbookViewId="0"/>
  </sheetViews>
  <sheetFormatPr defaultColWidth="14.42578125" defaultRowHeight="15" customHeight="1"/>
  <sheetData>
    <row r="1" spans="1:6">
      <c r="A1" s="13" t="s">
        <v>221</v>
      </c>
      <c r="B1" s="13" t="s">
        <v>222</v>
      </c>
      <c r="C1" s="13" t="s">
        <v>223</v>
      </c>
      <c r="D1" s="13" t="s">
        <v>224</v>
      </c>
      <c r="E1" s="13" t="s">
        <v>225</v>
      </c>
      <c r="F1" s="13" t="s">
        <v>226</v>
      </c>
    </row>
    <row r="2" spans="1:6">
      <c r="A2" s="14" t="s">
        <v>168</v>
      </c>
      <c r="B2" s="15">
        <v>30020</v>
      </c>
      <c r="C2" s="15">
        <v>22610</v>
      </c>
      <c r="D2" s="15">
        <v>6030</v>
      </c>
      <c r="E2" s="15">
        <v>5320</v>
      </c>
      <c r="F2" s="15">
        <v>1150</v>
      </c>
    </row>
    <row r="3" spans="1:6">
      <c r="A3" s="14" t="s">
        <v>170</v>
      </c>
      <c r="B3" s="15">
        <v>47450</v>
      </c>
      <c r="C3" s="15">
        <v>4830</v>
      </c>
      <c r="D3" s="15">
        <v>1360</v>
      </c>
      <c r="E3" s="15">
        <v>10240</v>
      </c>
      <c r="F3" s="15">
        <v>750</v>
      </c>
    </row>
    <row r="4" spans="1:6">
      <c r="A4" s="14" t="s">
        <v>172</v>
      </c>
      <c r="B4" s="15">
        <v>20780</v>
      </c>
      <c r="C4" s="15">
        <v>25190</v>
      </c>
      <c r="D4" s="15">
        <v>10360</v>
      </c>
      <c r="E4" s="15">
        <v>5660</v>
      </c>
      <c r="F4" s="15">
        <v>3750</v>
      </c>
    </row>
    <row r="5" spans="1:6">
      <c r="A5" s="14" t="s">
        <v>174</v>
      </c>
      <c r="B5" s="15">
        <v>31950</v>
      </c>
      <c r="C5" s="15">
        <v>27780</v>
      </c>
      <c r="D5" s="15">
        <v>4420</v>
      </c>
      <c r="E5" s="15">
        <v>7190</v>
      </c>
      <c r="F5" s="15">
        <v>1320</v>
      </c>
    </row>
    <row r="6" spans="1:6">
      <c r="A6" s="14" t="s">
        <v>176</v>
      </c>
      <c r="B6" s="15">
        <v>42620</v>
      </c>
      <c r="C6" s="15">
        <v>19510</v>
      </c>
      <c r="D6" s="15">
        <v>12600</v>
      </c>
      <c r="E6" s="15">
        <v>930</v>
      </c>
      <c r="F6" s="15">
        <v>4020</v>
      </c>
    </row>
    <row r="7" spans="1:6">
      <c r="A7" s="14" t="s">
        <v>178</v>
      </c>
      <c r="B7" s="15">
        <v>16210</v>
      </c>
      <c r="C7" s="15">
        <v>2150</v>
      </c>
      <c r="D7" s="15">
        <v>13210</v>
      </c>
      <c r="E7" s="15">
        <v>6410</v>
      </c>
      <c r="F7" s="15">
        <v>2450</v>
      </c>
    </row>
    <row r="8" spans="1:6">
      <c r="A8" s="14" t="s">
        <v>180</v>
      </c>
      <c r="B8" s="15">
        <v>36100</v>
      </c>
      <c r="C8" s="15">
        <v>17780</v>
      </c>
      <c r="D8" s="15">
        <v>3620</v>
      </c>
      <c r="E8" s="15">
        <v>840</v>
      </c>
      <c r="F8" s="15">
        <v>3000</v>
      </c>
    </row>
    <row r="9" spans="1:6">
      <c r="A9" s="14" t="s">
        <v>182</v>
      </c>
      <c r="B9" s="15">
        <v>35750</v>
      </c>
      <c r="C9" s="15">
        <v>3470</v>
      </c>
      <c r="D9" s="15">
        <v>12280</v>
      </c>
      <c r="E9" s="15">
        <v>11100</v>
      </c>
      <c r="F9" s="15">
        <v>670</v>
      </c>
    </row>
    <row r="10" spans="1:6">
      <c r="A10" s="14" t="s">
        <v>184</v>
      </c>
      <c r="B10" s="15">
        <v>20220</v>
      </c>
      <c r="C10" s="15">
        <v>7390</v>
      </c>
      <c r="D10" s="15">
        <v>17920</v>
      </c>
      <c r="E10" s="15">
        <v>1530</v>
      </c>
      <c r="F10" s="15">
        <v>1290</v>
      </c>
    </row>
    <row r="11" spans="1:6">
      <c r="A11" s="14" t="s">
        <v>186</v>
      </c>
      <c r="B11" s="15">
        <v>44610</v>
      </c>
      <c r="C11" s="15">
        <v>21700</v>
      </c>
      <c r="D11" s="15">
        <v>19730</v>
      </c>
      <c r="E11" s="15">
        <v>4710</v>
      </c>
      <c r="F11" s="15">
        <v>2540</v>
      </c>
    </row>
    <row r="12" spans="1:6">
      <c r="A12" s="14" t="s">
        <v>188</v>
      </c>
      <c r="B12" s="15">
        <v>11410</v>
      </c>
      <c r="C12" s="15">
        <v>19320</v>
      </c>
      <c r="D12" s="15">
        <v>6410</v>
      </c>
      <c r="E12" s="15">
        <v>9710</v>
      </c>
      <c r="F12" s="15">
        <v>1220</v>
      </c>
    </row>
    <row r="13" spans="1:6">
      <c r="A13" s="14" t="s">
        <v>190</v>
      </c>
      <c r="B13" s="15">
        <v>7450</v>
      </c>
      <c r="C13" s="15">
        <v>12020</v>
      </c>
      <c r="D13" s="15">
        <v>15560</v>
      </c>
      <c r="E13" s="15">
        <v>5780</v>
      </c>
      <c r="F13" s="15">
        <v>3340</v>
      </c>
    </row>
    <row r="14" spans="1:6">
      <c r="A14" s="14" t="s">
        <v>192</v>
      </c>
      <c r="B14" s="15">
        <v>33570</v>
      </c>
      <c r="C14" s="15">
        <v>16390</v>
      </c>
      <c r="D14" s="15">
        <v>8010</v>
      </c>
      <c r="E14" s="15">
        <v>14130</v>
      </c>
      <c r="F14" s="15">
        <v>1400</v>
      </c>
    </row>
    <row r="15" spans="1:6">
      <c r="A15" s="14" t="s">
        <v>194</v>
      </c>
      <c r="B15" s="15">
        <v>14680</v>
      </c>
      <c r="C15" s="15">
        <v>27630</v>
      </c>
      <c r="D15" s="15">
        <v>1230</v>
      </c>
      <c r="E15" s="15">
        <v>3280</v>
      </c>
      <c r="F15" s="15">
        <v>3960</v>
      </c>
    </row>
    <row r="16" spans="1:6">
      <c r="A16" s="14" t="s">
        <v>196</v>
      </c>
      <c r="B16" s="15">
        <v>2850</v>
      </c>
      <c r="C16" s="15">
        <v>15170</v>
      </c>
      <c r="D16" s="15">
        <v>2750</v>
      </c>
      <c r="E16" s="15">
        <v>12960</v>
      </c>
      <c r="F16" s="15">
        <v>1500</v>
      </c>
    </row>
    <row r="17" spans="1:6">
      <c r="A17" s="14" t="s">
        <v>198</v>
      </c>
      <c r="B17" s="15">
        <v>43620</v>
      </c>
      <c r="C17" s="15">
        <v>15470</v>
      </c>
      <c r="D17" s="15">
        <v>11560</v>
      </c>
      <c r="E17" s="15">
        <v>2910</v>
      </c>
      <c r="F17" s="15">
        <v>2590</v>
      </c>
    </row>
    <row r="18" spans="1:6">
      <c r="A18" s="14" t="s">
        <v>200</v>
      </c>
      <c r="B18" s="15">
        <v>13250</v>
      </c>
      <c r="C18" s="15">
        <v>28030</v>
      </c>
      <c r="D18" s="15">
        <v>16850</v>
      </c>
      <c r="E18" s="15">
        <v>7600</v>
      </c>
      <c r="F18" s="15">
        <v>260</v>
      </c>
    </row>
    <row r="19" spans="1:6">
      <c r="A19" s="14" t="s">
        <v>202</v>
      </c>
      <c r="B19" s="15">
        <v>11470</v>
      </c>
      <c r="C19" s="15">
        <v>13880</v>
      </c>
      <c r="D19" s="15">
        <v>6780</v>
      </c>
      <c r="E19" s="15">
        <v>8160</v>
      </c>
      <c r="F19" s="15">
        <v>2530</v>
      </c>
    </row>
    <row r="20" spans="1:6">
      <c r="A20" s="14" t="s">
        <v>204</v>
      </c>
      <c r="B20" s="15">
        <v>29900</v>
      </c>
      <c r="C20" s="15">
        <v>9720</v>
      </c>
      <c r="D20" s="15">
        <v>16240</v>
      </c>
      <c r="E20" s="15">
        <v>3980</v>
      </c>
      <c r="F20" s="15">
        <v>2930</v>
      </c>
    </row>
    <row r="21" spans="1:6">
      <c r="A21" s="14" t="s">
        <v>206</v>
      </c>
      <c r="B21" s="15">
        <v>19580</v>
      </c>
      <c r="C21" s="15">
        <v>6140</v>
      </c>
      <c r="D21" s="15">
        <v>7950</v>
      </c>
      <c r="E21" s="15">
        <v>13520</v>
      </c>
      <c r="F21" s="15">
        <v>2180</v>
      </c>
    </row>
    <row r="22" spans="1:6">
      <c r="A22" s="14" t="s">
        <v>208</v>
      </c>
      <c r="B22" s="15">
        <v>35650</v>
      </c>
      <c r="C22" s="15">
        <v>4670</v>
      </c>
      <c r="D22" s="15">
        <v>3590</v>
      </c>
      <c r="E22" s="15">
        <v>2100</v>
      </c>
      <c r="F22" s="15">
        <v>280</v>
      </c>
    </row>
    <row r="23" spans="1:6">
      <c r="A23" s="14" t="s">
        <v>210</v>
      </c>
      <c r="B23" s="15">
        <v>10790</v>
      </c>
      <c r="C23" s="15">
        <v>25070</v>
      </c>
      <c r="D23" s="15">
        <v>8770</v>
      </c>
      <c r="E23" s="15">
        <v>14450</v>
      </c>
      <c r="F23" s="15">
        <v>3140</v>
      </c>
    </row>
    <row r="24" spans="1:6">
      <c r="A24" s="14" t="s">
        <v>212</v>
      </c>
      <c r="B24" s="15">
        <v>24360</v>
      </c>
      <c r="C24" s="15">
        <v>1970</v>
      </c>
      <c r="D24" s="15">
        <v>5530</v>
      </c>
      <c r="E24" s="15">
        <v>12040</v>
      </c>
      <c r="F24" s="15">
        <v>4940</v>
      </c>
    </row>
    <row r="25" spans="1:6">
      <c r="A25" s="14" t="s">
        <v>214</v>
      </c>
      <c r="B25" s="15">
        <v>22080</v>
      </c>
      <c r="C25" s="15">
        <v>29350</v>
      </c>
      <c r="D25" s="15">
        <v>18890</v>
      </c>
      <c r="E25" s="15">
        <v>3030</v>
      </c>
      <c r="F25" s="15">
        <v>410</v>
      </c>
    </row>
    <row r="26" spans="1:6">
      <c r="A26" s="14" t="s">
        <v>216</v>
      </c>
      <c r="B26" s="15">
        <v>1907890</v>
      </c>
      <c r="C26" s="15">
        <v>29910</v>
      </c>
      <c r="D26" s="15">
        <v>19570</v>
      </c>
      <c r="E26" s="15">
        <v>13060</v>
      </c>
      <c r="F26" s="15">
        <v>640</v>
      </c>
    </row>
    <row r="27" spans="1:6">
      <c r="A27" s="14" t="s">
        <v>218</v>
      </c>
      <c r="B27" s="15">
        <v>18170</v>
      </c>
      <c r="C27" s="15">
        <v>11380</v>
      </c>
      <c r="D27" s="15">
        <v>11570</v>
      </c>
      <c r="E27" s="15">
        <v>4600</v>
      </c>
      <c r="F27" s="15">
        <v>3810</v>
      </c>
    </row>
    <row r="28" spans="1:6">
      <c r="A28" s="14" t="s">
        <v>220</v>
      </c>
      <c r="B28" s="15">
        <v>40400</v>
      </c>
      <c r="C28" s="15">
        <v>6760</v>
      </c>
      <c r="D28" s="15">
        <v>8910</v>
      </c>
      <c r="E28" s="15">
        <v>8130</v>
      </c>
      <c r="F28" s="15">
        <v>2310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1"/>
  <sheetViews>
    <sheetView workbookViewId="0"/>
  </sheetViews>
  <sheetFormatPr defaultColWidth="14.42578125" defaultRowHeight="15" customHeight="1"/>
  <cols>
    <col min="2" max="2" width="30.42578125" customWidth="1"/>
  </cols>
  <sheetData>
    <row r="1" spans="1:4">
      <c r="A1" s="10" t="s">
        <v>221</v>
      </c>
      <c r="B1" s="10" t="s">
        <v>227</v>
      </c>
      <c r="C1" s="10" t="s">
        <v>228</v>
      </c>
      <c r="D1" s="10" t="s">
        <v>229</v>
      </c>
    </row>
    <row r="2" spans="1:4">
      <c r="A2" s="16" t="str">
        <f>'Dados Geral'!B3</f>
        <v>FAPAC</v>
      </c>
      <c r="B2" s="17">
        <f>'Dados Geral'!CG3</f>
        <v>0.23170731707317074</v>
      </c>
      <c r="C2" s="16" t="str">
        <f>'Dados Geral'!A3</f>
        <v>AC</v>
      </c>
      <c r="D2" s="10" t="s">
        <v>230</v>
      </c>
    </row>
    <row r="3" spans="1:4">
      <c r="A3" s="16" t="str">
        <f>'Dados Geral'!B4</f>
        <v>PAFEAL</v>
      </c>
      <c r="B3" s="17">
        <f>'Dados Geral'!CG4</f>
        <v>0.67073170731707321</v>
      </c>
      <c r="C3" s="16" t="str">
        <f>'Dados Geral'!A4</f>
        <v>AL</v>
      </c>
      <c r="D3" s="10" t="s">
        <v>231</v>
      </c>
    </row>
    <row r="4" spans="1:4">
      <c r="A4" s="16" t="str">
        <f>'Dados Geral'!B5</f>
        <v>FAPEAP</v>
      </c>
      <c r="B4" s="17">
        <f>'Dados Geral'!CG5</f>
        <v>0.35365853658536583</v>
      </c>
      <c r="C4" s="16" t="str">
        <f>'Dados Geral'!A5</f>
        <v>AP</v>
      </c>
      <c r="D4" s="10" t="s">
        <v>230</v>
      </c>
    </row>
    <row r="5" spans="1:4">
      <c r="A5" s="16" t="str">
        <f>'Dados Geral'!B6</f>
        <v>FAPEAM</v>
      </c>
      <c r="B5" s="17">
        <f>'Dados Geral'!CG6</f>
        <v>0.25609756097560976</v>
      </c>
      <c r="C5" s="16" t="str">
        <f>'Dados Geral'!A6</f>
        <v>AM</v>
      </c>
      <c r="D5" s="10" t="s">
        <v>230</v>
      </c>
    </row>
    <row r="6" spans="1:4">
      <c r="A6" s="16" t="str">
        <f>'Dados Geral'!B7</f>
        <v>FAPESB</v>
      </c>
      <c r="B6" s="17">
        <f>'Dados Geral'!CG7</f>
        <v>0.53658536585365857</v>
      </c>
      <c r="C6" s="16" t="str">
        <f>'Dados Geral'!A7</f>
        <v>BA</v>
      </c>
      <c r="D6" s="10" t="s">
        <v>231</v>
      </c>
    </row>
    <row r="7" spans="1:4">
      <c r="A7" s="16" t="str">
        <f>'Dados Geral'!B8</f>
        <v>FUNCAP</v>
      </c>
      <c r="B7" s="17">
        <f>'Dados Geral'!CG8</f>
        <v>0.67073170731707321</v>
      </c>
      <c r="C7" s="16" t="str">
        <f>'Dados Geral'!A8</f>
        <v>CE</v>
      </c>
      <c r="D7" s="10" t="s">
        <v>231</v>
      </c>
    </row>
    <row r="8" spans="1:4">
      <c r="A8" s="16" t="str">
        <f>'Dados Geral'!B9</f>
        <v>FAPDF</v>
      </c>
      <c r="B8" s="17">
        <f>'Dados Geral'!CG9</f>
        <v>0.73170731707317072</v>
      </c>
      <c r="C8" s="16" t="str">
        <f>'Dados Geral'!A9</f>
        <v>DF</v>
      </c>
      <c r="D8" s="10" t="s">
        <v>232</v>
      </c>
    </row>
    <row r="9" spans="1:4">
      <c r="A9" s="16" t="str">
        <f>'Dados Geral'!B10</f>
        <v>FAPES</v>
      </c>
      <c r="B9" s="17">
        <f>'Dados Geral'!CG10</f>
        <v>0.54878048780487809</v>
      </c>
      <c r="C9" s="16" t="str">
        <f>'Dados Geral'!A10</f>
        <v>ES</v>
      </c>
      <c r="D9" s="10" t="s">
        <v>233</v>
      </c>
    </row>
    <row r="10" spans="1:4">
      <c r="A10" s="16" t="str">
        <f>'Dados Geral'!B11</f>
        <v>FAPEG</v>
      </c>
      <c r="B10" s="17">
        <f>'Dados Geral'!CG11</f>
        <v>0.58536585365853655</v>
      </c>
      <c r="C10" s="16" t="str">
        <f>'Dados Geral'!A11</f>
        <v>GO</v>
      </c>
      <c r="D10" s="10" t="s">
        <v>232</v>
      </c>
    </row>
    <row r="11" spans="1:4">
      <c r="A11" s="16" t="str">
        <f>'Dados Geral'!B12</f>
        <v>FAPEMA</v>
      </c>
      <c r="B11" s="17">
        <f>'Dados Geral'!CG12</f>
        <v>0.62195121951219512</v>
      </c>
      <c r="C11" s="16" t="str">
        <f>'Dados Geral'!A12</f>
        <v>MA</v>
      </c>
      <c r="D11" s="10" t="s">
        <v>231</v>
      </c>
    </row>
    <row r="12" spans="1:4">
      <c r="A12" s="16" t="str">
        <f>'Dados Geral'!B13</f>
        <v>FAPEMAT</v>
      </c>
      <c r="B12" s="17">
        <f>'Dados Geral'!CG13</f>
        <v>0.56097560975609762</v>
      </c>
      <c r="C12" s="16" t="str">
        <f>'Dados Geral'!A13</f>
        <v>MT</v>
      </c>
      <c r="D12" s="10" t="s">
        <v>232</v>
      </c>
    </row>
    <row r="13" spans="1:4">
      <c r="A13" s="16" t="str">
        <f>'Dados Geral'!B14</f>
        <v>FUNDECT</v>
      </c>
      <c r="B13" s="17">
        <f>'Dados Geral'!CG14</f>
        <v>0.64634146341463417</v>
      </c>
      <c r="C13" s="16" t="str">
        <f>'Dados Geral'!A14</f>
        <v>MS</v>
      </c>
      <c r="D13" s="10" t="s">
        <v>232</v>
      </c>
    </row>
    <row r="14" spans="1:4">
      <c r="A14" s="16" t="str">
        <f>'Dados Geral'!B15</f>
        <v>FAPEMIG</v>
      </c>
      <c r="B14" s="17">
        <f>'Dados Geral'!CG15</f>
        <v>0.71951219512195119</v>
      </c>
      <c r="C14" s="16" t="str">
        <f>'Dados Geral'!A15</f>
        <v>MG</v>
      </c>
      <c r="D14" s="10" t="s">
        <v>233</v>
      </c>
    </row>
    <row r="15" spans="1:4">
      <c r="A15" s="16" t="str">
        <f>'Dados Geral'!B16</f>
        <v>FAPESPA</v>
      </c>
      <c r="B15" s="17">
        <f>'Dados Geral'!CG16</f>
        <v>0.67073170731707321</v>
      </c>
      <c r="C15" s="16" t="str">
        <f>'Dados Geral'!A16</f>
        <v>PA</v>
      </c>
      <c r="D15" s="10" t="s">
        <v>230</v>
      </c>
    </row>
    <row r="16" spans="1:4">
      <c r="A16" s="16" t="str">
        <f>'Dados Geral'!B17</f>
        <v>FAPESQ</v>
      </c>
      <c r="B16" s="17">
        <f>'Dados Geral'!CG17</f>
        <v>0.54878048780487809</v>
      </c>
      <c r="C16" s="16" t="str">
        <f>'Dados Geral'!A17</f>
        <v>PB</v>
      </c>
      <c r="D16" s="10" t="s">
        <v>231</v>
      </c>
    </row>
    <row r="17" spans="1:4">
      <c r="A17" s="16" t="str">
        <f>'Dados Geral'!B18</f>
        <v>FA</v>
      </c>
      <c r="B17" s="17">
        <f>'Dados Geral'!CG18</f>
        <v>0.59756097560975607</v>
      </c>
      <c r="C17" s="16" t="str">
        <f>'Dados Geral'!A18</f>
        <v>PR</v>
      </c>
      <c r="D17" s="10" t="s">
        <v>234</v>
      </c>
    </row>
    <row r="18" spans="1:4">
      <c r="A18" s="16" t="str">
        <f>'Dados Geral'!B19</f>
        <v>FACEPE</v>
      </c>
      <c r="B18" s="17">
        <f>'Dados Geral'!CG19</f>
        <v>0.56097560975609762</v>
      </c>
      <c r="C18" s="16" t="str">
        <f>'Dados Geral'!A19</f>
        <v>PE</v>
      </c>
      <c r="D18" s="10" t="s">
        <v>231</v>
      </c>
    </row>
    <row r="19" spans="1:4">
      <c r="A19" s="16" t="str">
        <f>'Dados Geral'!B20</f>
        <v>FAPEPI</v>
      </c>
      <c r="B19" s="17">
        <f>'Dados Geral'!CG20</f>
        <v>0.58536585365853655</v>
      </c>
      <c r="C19" s="16" t="str">
        <f>'Dados Geral'!A20</f>
        <v>PI</v>
      </c>
      <c r="D19" s="10" t="s">
        <v>231</v>
      </c>
    </row>
    <row r="20" spans="1:4">
      <c r="A20" s="16" t="str">
        <f>'Dados Geral'!B21</f>
        <v>FAPERJ</v>
      </c>
      <c r="B20" s="17">
        <f>'Dados Geral'!CG21</f>
        <v>0.41463414634146339</v>
      </c>
      <c r="C20" s="16" t="str">
        <f>'Dados Geral'!A21</f>
        <v>RJ</v>
      </c>
      <c r="D20" s="10" t="s">
        <v>233</v>
      </c>
    </row>
    <row r="21" spans="1:4">
      <c r="A21" s="16" t="str">
        <f>'Dados Geral'!B22</f>
        <v>FAPERN</v>
      </c>
      <c r="B21" s="17">
        <f>'Dados Geral'!CG22</f>
        <v>0.65853658536585369</v>
      </c>
      <c r="C21" s="16" t="str">
        <f>'Dados Geral'!A22</f>
        <v>RN</v>
      </c>
      <c r="D21" s="10" t="s">
        <v>231</v>
      </c>
    </row>
    <row r="22" spans="1:4">
      <c r="A22" s="16" t="str">
        <f>'Dados Geral'!B23</f>
        <v>FAPERGS</v>
      </c>
      <c r="B22" s="17">
        <f>'Dados Geral'!CG23</f>
        <v>0.67073170731707321</v>
      </c>
      <c r="C22" s="16" t="str">
        <f>'Dados Geral'!A23</f>
        <v>RS</v>
      </c>
      <c r="D22" s="10" t="s">
        <v>234</v>
      </c>
    </row>
    <row r="23" spans="1:4">
      <c r="A23" s="16" t="str">
        <f>'Dados Geral'!B24</f>
        <v>FAPERO</v>
      </c>
      <c r="B23" s="17">
        <f>'Dados Geral'!CG24</f>
        <v>0.41463414634146339</v>
      </c>
      <c r="C23" s="16" t="str">
        <f>'Dados Geral'!A24</f>
        <v>RO</v>
      </c>
      <c r="D23" s="10" t="s">
        <v>230</v>
      </c>
    </row>
    <row r="24" spans="1:4">
      <c r="A24" s="16" t="str">
        <f>'Dados Geral'!B25</f>
        <v>FAPERR</v>
      </c>
      <c r="B24" s="17">
        <f>'Dados Geral'!CG25</f>
        <v>0.45121951219512196</v>
      </c>
      <c r="C24" s="16" t="str">
        <f>'Dados Geral'!A25</f>
        <v>RR</v>
      </c>
      <c r="D24" s="10" t="s">
        <v>230</v>
      </c>
    </row>
    <row r="25" spans="1:4">
      <c r="A25" s="16" t="str">
        <f>'Dados Geral'!B26</f>
        <v>FAPESC</v>
      </c>
      <c r="B25" s="17">
        <f>'Dados Geral'!CG26</f>
        <v>0.57317073170731703</v>
      </c>
      <c r="C25" s="16" t="str">
        <f>'Dados Geral'!A26</f>
        <v>SC</v>
      </c>
      <c r="D25" s="10" t="s">
        <v>234</v>
      </c>
    </row>
    <row r="26" spans="1:4">
      <c r="A26" s="16" t="str">
        <f>'Dados Geral'!B27</f>
        <v>FAPESP</v>
      </c>
      <c r="B26" s="17">
        <f>'Dados Geral'!CG27</f>
        <v>0.78048780487804881</v>
      </c>
      <c r="C26" s="16" t="str">
        <f>'Dados Geral'!A27</f>
        <v>SP</v>
      </c>
      <c r="D26" s="10" t="s">
        <v>233</v>
      </c>
    </row>
    <row r="27" spans="1:4">
      <c r="A27" s="16" t="str">
        <f>'Dados Geral'!B28</f>
        <v>FAPITEC</v>
      </c>
      <c r="B27" s="17">
        <f>'Dados Geral'!CG28</f>
        <v>0.51219512195121952</v>
      </c>
      <c r="C27" s="16" t="str">
        <f>'Dados Geral'!A28</f>
        <v>SE</v>
      </c>
      <c r="D27" s="10" t="s">
        <v>231</v>
      </c>
    </row>
    <row r="28" spans="1:4">
      <c r="A28" s="16" t="str">
        <f>'Dados Geral'!B29</f>
        <v>FAPT</v>
      </c>
      <c r="B28" s="17">
        <f>'Dados Geral'!CG29</f>
        <v>0.29268292682926828</v>
      </c>
      <c r="C28" s="16" t="str">
        <f>'Dados Geral'!A29</f>
        <v>TO</v>
      </c>
      <c r="D28" s="10" t="s">
        <v>230</v>
      </c>
    </row>
    <row r="30" spans="1:4">
      <c r="A30" s="16">
        <f>'Dados Geral'!B31</f>
        <v>0</v>
      </c>
    </row>
    <row r="31" spans="1:4">
      <c r="A31" s="16">
        <f>'Dados Geral'!B32</f>
        <v>0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workbookViewId="0"/>
  </sheetViews>
  <sheetFormatPr defaultColWidth="14.42578125" defaultRowHeight="15" customHeight="1"/>
  <cols>
    <col min="2" max="2" width="27.7109375" customWidth="1"/>
  </cols>
  <sheetData>
    <row r="1" spans="1:2">
      <c r="A1" s="10" t="s">
        <v>235</v>
      </c>
      <c r="B1" s="10" t="s">
        <v>236</v>
      </c>
    </row>
    <row r="2" spans="1:2">
      <c r="A2" s="10" t="s">
        <v>230</v>
      </c>
      <c r="B2" s="18">
        <f>AVERAGEIF(Fundações!D:D,A2,Fundações!B:B)</f>
        <v>0.38153310104529614</v>
      </c>
    </row>
    <row r="3" spans="1:2">
      <c r="A3" s="10" t="s">
        <v>231</v>
      </c>
      <c r="B3" s="18">
        <f>AVERAGEIF(Fundações!D:D,A3,Fundações!B:B)</f>
        <v>0.59620596205962051</v>
      </c>
    </row>
    <row r="4" spans="1:2">
      <c r="A4" s="10" t="s">
        <v>232</v>
      </c>
      <c r="B4" s="18">
        <f>AVERAGEIF(Fundações!D:D,A4,Fundações!B:B)</f>
        <v>0.63109756097560976</v>
      </c>
    </row>
    <row r="5" spans="1:2">
      <c r="A5" s="10" t="s">
        <v>233</v>
      </c>
      <c r="B5" s="18">
        <f>AVERAGEIF(Fundações!D:D,A5,Fundações!B:B)</f>
        <v>0.61585365853658536</v>
      </c>
    </row>
    <row r="6" spans="1:2">
      <c r="A6" s="10" t="s">
        <v>234</v>
      </c>
      <c r="B6" s="18">
        <f>AVERAGEIF(Fundações!D:D,A6,Fundações!B:B)</f>
        <v>0.61382113821138207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28"/>
  <sheetViews>
    <sheetView workbookViewId="0"/>
  </sheetViews>
  <sheetFormatPr defaultColWidth="14.42578125" defaultRowHeight="15" customHeight="1"/>
  <sheetData>
    <row r="1" spans="1:20">
      <c r="A1" s="16" t="str">
        <f>'Dados Geral'!B2</f>
        <v>FUNDAÇÃO</v>
      </c>
      <c r="B1" s="16" t="str">
        <f>'Dados Geral'!C2</f>
        <v>Informa claramente sobre o seu ramo de atividade</v>
      </c>
      <c r="C1" s="16" t="str">
        <f>'Dados Geral'!D2</f>
        <v>Indica inequivocamente quem são os beneficiários das suas operações</v>
      </c>
      <c r="D1" s="16" t="str">
        <f>'Dados Geral'!E2</f>
        <v>A missão da organização está claramente definida</v>
      </c>
      <c r="E1" s="16" t="str">
        <f>'Dados Geral'!F2</f>
        <v>A visão da organização está claramente definida</v>
      </c>
      <c r="F1" s="16" t="str">
        <f>'Dados Geral'!G2</f>
        <v>Os valores estão enunciados e a interpretação que a organização faz deles são definidos</v>
      </c>
      <c r="G1" s="16" t="str">
        <f>'Dados Geral'!H2</f>
        <v>Informações sobre os interesses que representa (da ciência e tecnologia, de ensino, pesquisa e extensão)</v>
      </c>
      <c r="H1" s="16" t="str">
        <f>'Dados Geral'!I2</f>
        <v>Os objetivos da organização são claros, precisos e passíveis de avaliação</v>
      </c>
      <c r="I1" s="16" t="str">
        <f>'Dados Geral'!J2</f>
        <v>Descrição dos projetos e programas desenvolvidos.</v>
      </c>
      <c r="J1" s="16" t="str">
        <f>'Dados Geral'!K2</f>
        <v>Calendário de eventos</v>
      </c>
      <c r="K1" s="16" t="str">
        <f>'Dados Geral'!L2</f>
        <v>Serviço de notícias</v>
      </c>
      <c r="L1" s="16" t="str">
        <f>'Dados Geral'!M2</f>
        <v>Fornece informações precisas e quantitativas sobre o ambiente político da organização não governamental de desenvolvimento</v>
      </c>
      <c r="M1" s="16" t="str">
        <f>'Dados Geral'!N2</f>
        <v>Informa sobre os processos de qualidade implementados pela organização</v>
      </c>
      <c r="N1" s="16" t="str">
        <f>'Dados Geral'!O2</f>
        <v>Informa sobre o total de pessoas contratadas</v>
      </c>
      <c r="O1" s="16" t="str">
        <f>'Dados Geral'!P2</f>
        <v>Informa sobre a existência do total de voluntários</v>
      </c>
      <c r="P1" s="16" t="str">
        <f>'Dados Geral'!Q2</f>
        <v>Informações sobre o regime jurídico e tipo de contratos de trabalho do pessoal</v>
      </c>
      <c r="Q1" s="16" t="str">
        <f>'Dados Geral'!R2</f>
        <v>Indica a estrutura da organização</v>
      </c>
      <c r="R1" s="16" t="str">
        <f>'Dados Geral'!S2</f>
        <v>Informações sobre treinamentos realizados pelo pessoal da organização</v>
      </c>
      <c r="S1" s="16" t="str">
        <f>'Dados Geral'!T2</f>
        <v>Recursos educacionais (apresentação de slides, cursos, vídeos,)</v>
      </c>
      <c r="T1" s="16" t="str">
        <f>'Dados Geral'!U2</f>
        <v>Informações sobre vínculos com financiadores, associações ou empresas</v>
      </c>
    </row>
    <row r="2" spans="1:20">
      <c r="A2" s="16" t="str">
        <f>'Dados Geral'!B3</f>
        <v>FAPAC</v>
      </c>
      <c r="B2" s="16">
        <f>'Dados Geral'!C3</f>
        <v>0</v>
      </c>
      <c r="C2" s="16">
        <f>'Dados Geral'!D3</f>
        <v>0</v>
      </c>
      <c r="D2" s="16">
        <f>'Dados Geral'!E3</f>
        <v>0</v>
      </c>
      <c r="E2" s="16">
        <f>'Dados Geral'!F3</f>
        <v>0</v>
      </c>
      <c r="F2" s="16">
        <f>'Dados Geral'!G3</f>
        <v>0</v>
      </c>
      <c r="G2" s="16">
        <f>'Dados Geral'!H3</f>
        <v>1</v>
      </c>
      <c r="H2" s="16">
        <f>'Dados Geral'!I3</f>
        <v>0</v>
      </c>
      <c r="I2" s="16">
        <f>'Dados Geral'!J3</f>
        <v>0</v>
      </c>
      <c r="J2" s="16">
        <f>'Dados Geral'!K3</f>
        <v>0</v>
      </c>
      <c r="K2" s="16">
        <f>'Dados Geral'!L3</f>
        <v>0</v>
      </c>
      <c r="L2" s="16">
        <f>'Dados Geral'!M3</f>
        <v>0</v>
      </c>
      <c r="M2" s="16">
        <f>'Dados Geral'!N3</f>
        <v>0</v>
      </c>
      <c r="N2" s="16">
        <f>'Dados Geral'!O3</f>
        <v>0</v>
      </c>
      <c r="O2" s="16">
        <f>'Dados Geral'!P3</f>
        <v>0</v>
      </c>
      <c r="P2" s="16">
        <f>'Dados Geral'!Q3</f>
        <v>1</v>
      </c>
      <c r="Q2" s="16">
        <f>'Dados Geral'!R3</f>
        <v>0</v>
      </c>
      <c r="R2" s="16">
        <f>'Dados Geral'!S3</f>
        <v>0</v>
      </c>
      <c r="S2" s="16">
        <f>'Dados Geral'!T3</f>
        <v>1</v>
      </c>
      <c r="T2" s="16">
        <f>'Dados Geral'!U3</f>
        <v>0</v>
      </c>
    </row>
    <row r="3" spans="1:20">
      <c r="A3" s="16" t="str">
        <f>'Dados Geral'!B4</f>
        <v>PAFEAL</v>
      </c>
      <c r="B3" s="16">
        <f>'Dados Geral'!C4</f>
        <v>1</v>
      </c>
      <c r="C3" s="16">
        <f>'Dados Geral'!D4</f>
        <v>1</v>
      </c>
      <c r="D3" s="16">
        <f>'Dados Geral'!E4</f>
        <v>1</v>
      </c>
      <c r="E3" s="16">
        <f>'Dados Geral'!F4</f>
        <v>1</v>
      </c>
      <c r="F3" s="16">
        <f>'Dados Geral'!G4</f>
        <v>1</v>
      </c>
      <c r="G3" s="16">
        <f>'Dados Geral'!H4</f>
        <v>0</v>
      </c>
      <c r="H3" s="16">
        <f>'Dados Geral'!I4</f>
        <v>1</v>
      </c>
      <c r="I3" s="16">
        <f>'Dados Geral'!J4</f>
        <v>1</v>
      </c>
      <c r="J3" s="16">
        <f>'Dados Geral'!K4</f>
        <v>0</v>
      </c>
      <c r="K3" s="16">
        <f>'Dados Geral'!L4</f>
        <v>1</v>
      </c>
      <c r="L3" s="16">
        <f>'Dados Geral'!M4</f>
        <v>1</v>
      </c>
      <c r="M3" s="16">
        <f>'Dados Geral'!N4</f>
        <v>1</v>
      </c>
      <c r="N3" s="16">
        <f>'Dados Geral'!O4</f>
        <v>1</v>
      </c>
      <c r="O3" s="16">
        <f>'Dados Geral'!P4</f>
        <v>0</v>
      </c>
      <c r="P3" s="16">
        <f>'Dados Geral'!Q4</f>
        <v>1</v>
      </c>
      <c r="Q3" s="16">
        <f>'Dados Geral'!R4</f>
        <v>1</v>
      </c>
      <c r="R3" s="16">
        <f>'Dados Geral'!S4</f>
        <v>0</v>
      </c>
      <c r="S3" s="16">
        <f>'Dados Geral'!T4</f>
        <v>1</v>
      </c>
      <c r="T3" s="16">
        <f>'Dados Geral'!U4</f>
        <v>1</v>
      </c>
    </row>
    <row r="4" spans="1:20">
      <c r="A4" s="16" t="str">
        <f>'Dados Geral'!B5</f>
        <v>FAPEAP</v>
      </c>
      <c r="B4" s="16">
        <f>'Dados Geral'!C5</f>
        <v>0</v>
      </c>
      <c r="C4" s="16">
        <f>'Dados Geral'!D5</f>
        <v>0</v>
      </c>
      <c r="D4" s="16">
        <f>'Dados Geral'!E5</f>
        <v>0</v>
      </c>
      <c r="E4" s="16">
        <f>'Dados Geral'!F5</f>
        <v>0</v>
      </c>
      <c r="F4" s="16">
        <f>'Dados Geral'!G5</f>
        <v>0</v>
      </c>
      <c r="G4" s="16">
        <f>'Dados Geral'!H5</f>
        <v>0</v>
      </c>
      <c r="H4" s="16">
        <f>'Dados Geral'!I5</f>
        <v>0</v>
      </c>
      <c r="I4" s="16">
        <f>'Dados Geral'!J5</f>
        <v>1</v>
      </c>
      <c r="J4" s="16">
        <f>'Dados Geral'!K5</f>
        <v>1</v>
      </c>
      <c r="K4" s="16">
        <f>'Dados Geral'!L5</f>
        <v>0</v>
      </c>
      <c r="L4" s="16">
        <f>'Dados Geral'!M5</f>
        <v>1</v>
      </c>
      <c r="M4" s="16">
        <f>'Dados Geral'!N5</f>
        <v>1</v>
      </c>
      <c r="N4" s="16">
        <f>'Dados Geral'!O5</f>
        <v>1</v>
      </c>
      <c r="O4" s="16">
        <f>'Dados Geral'!P5</f>
        <v>0</v>
      </c>
      <c r="P4" s="16">
        <f>'Dados Geral'!Q5</f>
        <v>0</v>
      </c>
      <c r="Q4" s="16">
        <f>'Dados Geral'!R5</f>
        <v>0</v>
      </c>
      <c r="R4" s="16">
        <f>'Dados Geral'!S5</f>
        <v>0</v>
      </c>
      <c r="S4" s="16">
        <f>'Dados Geral'!T5</f>
        <v>0</v>
      </c>
      <c r="T4" s="16">
        <f>'Dados Geral'!U5</f>
        <v>0</v>
      </c>
    </row>
    <row r="5" spans="1:20">
      <c r="A5" s="16" t="str">
        <f>'Dados Geral'!B6</f>
        <v>FAPEAM</v>
      </c>
      <c r="B5" s="16">
        <f>'Dados Geral'!C6</f>
        <v>0</v>
      </c>
      <c r="C5" s="16">
        <f>'Dados Geral'!D6</f>
        <v>0</v>
      </c>
      <c r="D5" s="16">
        <f>'Dados Geral'!E6</f>
        <v>0</v>
      </c>
      <c r="E5" s="16">
        <f>'Dados Geral'!F6</f>
        <v>0</v>
      </c>
      <c r="F5" s="16">
        <f>'Dados Geral'!G6</f>
        <v>0</v>
      </c>
      <c r="G5" s="16">
        <f>'Dados Geral'!H6</f>
        <v>1</v>
      </c>
      <c r="H5" s="16">
        <f>'Dados Geral'!I6</f>
        <v>0</v>
      </c>
      <c r="I5" s="16">
        <f>'Dados Geral'!J6</f>
        <v>0</v>
      </c>
      <c r="J5" s="16">
        <f>'Dados Geral'!K6</f>
        <v>0</v>
      </c>
      <c r="K5" s="16">
        <f>'Dados Geral'!L6</f>
        <v>0</v>
      </c>
      <c r="L5" s="16">
        <f>'Dados Geral'!M6</f>
        <v>0</v>
      </c>
      <c r="M5" s="16">
        <f>'Dados Geral'!N6</f>
        <v>0</v>
      </c>
      <c r="N5" s="16">
        <f>'Dados Geral'!O6</f>
        <v>1</v>
      </c>
      <c r="O5" s="16">
        <f>'Dados Geral'!P6</f>
        <v>0</v>
      </c>
      <c r="P5" s="16">
        <f>'Dados Geral'!Q6</f>
        <v>0</v>
      </c>
      <c r="Q5" s="16">
        <f>'Dados Geral'!R6</f>
        <v>0</v>
      </c>
      <c r="R5" s="16">
        <f>'Dados Geral'!S6</f>
        <v>0</v>
      </c>
      <c r="S5" s="16">
        <f>'Dados Geral'!T6</f>
        <v>0</v>
      </c>
      <c r="T5" s="16">
        <f>'Dados Geral'!U6</f>
        <v>0</v>
      </c>
    </row>
    <row r="6" spans="1:20">
      <c r="A6" s="16" t="str">
        <f>'Dados Geral'!B7</f>
        <v>FAPESB</v>
      </c>
      <c r="B6" s="16">
        <f>'Dados Geral'!C7</f>
        <v>1</v>
      </c>
      <c r="C6" s="16">
        <f>'Dados Geral'!D7</f>
        <v>1</v>
      </c>
      <c r="D6" s="16">
        <f>'Dados Geral'!E7</f>
        <v>1</v>
      </c>
      <c r="E6" s="16">
        <f>'Dados Geral'!F7</f>
        <v>1</v>
      </c>
      <c r="F6" s="16">
        <f>'Dados Geral'!G7</f>
        <v>1</v>
      </c>
      <c r="G6" s="16">
        <f>'Dados Geral'!H7</f>
        <v>0</v>
      </c>
      <c r="H6" s="16">
        <f>'Dados Geral'!I7</f>
        <v>1</v>
      </c>
      <c r="I6" s="16">
        <f>'Dados Geral'!J7</f>
        <v>0</v>
      </c>
      <c r="J6" s="16">
        <f>'Dados Geral'!K7</f>
        <v>0</v>
      </c>
      <c r="K6" s="16">
        <f>'Dados Geral'!L7</f>
        <v>1</v>
      </c>
      <c r="L6" s="16">
        <f>'Dados Geral'!M7</f>
        <v>0</v>
      </c>
      <c r="M6" s="16">
        <f>'Dados Geral'!N7</f>
        <v>0</v>
      </c>
      <c r="N6" s="16">
        <f>'Dados Geral'!O7</f>
        <v>0</v>
      </c>
      <c r="O6" s="16">
        <f>'Dados Geral'!P7</f>
        <v>0</v>
      </c>
      <c r="P6" s="16">
        <f>'Dados Geral'!Q7</f>
        <v>1</v>
      </c>
      <c r="Q6" s="16">
        <f>'Dados Geral'!R7</f>
        <v>1</v>
      </c>
      <c r="R6" s="16">
        <f>'Dados Geral'!S7</f>
        <v>1</v>
      </c>
      <c r="S6" s="16">
        <f>'Dados Geral'!T7</f>
        <v>0</v>
      </c>
      <c r="T6" s="16">
        <f>'Dados Geral'!U7</f>
        <v>1</v>
      </c>
    </row>
    <row r="7" spans="1:20">
      <c r="A7" s="16" t="str">
        <f>'Dados Geral'!B8</f>
        <v>FUNCAP</v>
      </c>
      <c r="B7" s="16">
        <f>'Dados Geral'!C8</f>
        <v>1</v>
      </c>
      <c r="C7" s="16">
        <f>'Dados Geral'!D8</f>
        <v>1</v>
      </c>
      <c r="D7" s="16">
        <f>'Dados Geral'!E8</f>
        <v>1</v>
      </c>
      <c r="E7" s="16">
        <f>'Dados Geral'!F8</f>
        <v>1</v>
      </c>
      <c r="F7" s="16">
        <f>'Dados Geral'!G8</f>
        <v>1</v>
      </c>
      <c r="G7" s="16">
        <f>'Dados Geral'!H8</f>
        <v>0</v>
      </c>
      <c r="H7" s="16">
        <f>'Dados Geral'!I8</f>
        <v>0</v>
      </c>
      <c r="I7" s="16">
        <f>'Dados Geral'!J8</f>
        <v>0</v>
      </c>
      <c r="J7" s="16">
        <f>'Dados Geral'!K8</f>
        <v>1</v>
      </c>
      <c r="K7" s="16">
        <f>'Dados Geral'!L8</f>
        <v>1</v>
      </c>
      <c r="L7" s="16">
        <f>'Dados Geral'!M8</f>
        <v>0</v>
      </c>
      <c r="M7" s="16">
        <f>'Dados Geral'!N8</f>
        <v>1</v>
      </c>
      <c r="N7" s="16">
        <f>'Dados Geral'!O8</f>
        <v>1</v>
      </c>
      <c r="O7" s="16">
        <f>'Dados Geral'!P8</f>
        <v>1</v>
      </c>
      <c r="P7" s="16">
        <f>'Dados Geral'!Q8</f>
        <v>1</v>
      </c>
      <c r="Q7" s="16">
        <f>'Dados Geral'!R8</f>
        <v>1</v>
      </c>
      <c r="R7" s="16">
        <f>'Dados Geral'!S8</f>
        <v>1</v>
      </c>
      <c r="S7" s="16">
        <f>'Dados Geral'!T8</f>
        <v>1</v>
      </c>
      <c r="T7" s="16">
        <f>'Dados Geral'!U8</f>
        <v>1</v>
      </c>
    </row>
    <row r="8" spans="1:20">
      <c r="A8" s="16" t="str">
        <f>'Dados Geral'!B9</f>
        <v>FAPDF</v>
      </c>
      <c r="B8" s="16">
        <f>'Dados Geral'!C9</f>
        <v>1</v>
      </c>
      <c r="C8" s="16">
        <f>'Dados Geral'!D9</f>
        <v>1</v>
      </c>
      <c r="D8" s="16">
        <f>'Dados Geral'!E9</f>
        <v>1</v>
      </c>
      <c r="E8" s="16">
        <f>'Dados Geral'!F9</f>
        <v>1</v>
      </c>
      <c r="F8" s="16">
        <f>'Dados Geral'!G9</f>
        <v>1</v>
      </c>
      <c r="G8" s="16">
        <f>'Dados Geral'!H9</f>
        <v>0</v>
      </c>
      <c r="H8" s="16">
        <f>'Dados Geral'!I9</f>
        <v>1</v>
      </c>
      <c r="I8" s="16">
        <f>'Dados Geral'!J9</f>
        <v>0</v>
      </c>
      <c r="J8" s="16">
        <f>'Dados Geral'!K9</f>
        <v>0</v>
      </c>
      <c r="K8" s="16">
        <f>'Dados Geral'!L9</f>
        <v>1</v>
      </c>
      <c r="L8" s="16">
        <f>'Dados Geral'!M9</f>
        <v>0</v>
      </c>
      <c r="M8" s="16">
        <f>'Dados Geral'!N9</f>
        <v>1</v>
      </c>
      <c r="N8" s="16">
        <f>'Dados Geral'!O9</f>
        <v>1</v>
      </c>
      <c r="O8" s="16">
        <f>'Dados Geral'!P9</f>
        <v>1</v>
      </c>
      <c r="P8" s="16">
        <f>'Dados Geral'!Q9</f>
        <v>0</v>
      </c>
      <c r="Q8" s="16">
        <f>'Dados Geral'!R9</f>
        <v>1</v>
      </c>
      <c r="R8" s="16">
        <f>'Dados Geral'!S9</f>
        <v>1</v>
      </c>
      <c r="S8" s="16">
        <f>'Dados Geral'!T9</f>
        <v>1</v>
      </c>
      <c r="T8" s="16">
        <f>'Dados Geral'!U9</f>
        <v>1</v>
      </c>
    </row>
    <row r="9" spans="1:20">
      <c r="A9" s="16" t="str">
        <f>'Dados Geral'!B10</f>
        <v>FAPES</v>
      </c>
      <c r="B9" s="16">
        <f>'Dados Geral'!C10</f>
        <v>1</v>
      </c>
      <c r="C9" s="16">
        <f>'Dados Geral'!D10</f>
        <v>0</v>
      </c>
      <c r="D9" s="16">
        <f>'Dados Geral'!E10</f>
        <v>1</v>
      </c>
      <c r="E9" s="16">
        <f>'Dados Geral'!F10</f>
        <v>0</v>
      </c>
      <c r="F9" s="16">
        <f>'Dados Geral'!G10</f>
        <v>0</v>
      </c>
      <c r="G9" s="16">
        <f>'Dados Geral'!H10</f>
        <v>1</v>
      </c>
      <c r="H9" s="16">
        <f>'Dados Geral'!I10</f>
        <v>0</v>
      </c>
      <c r="I9" s="16">
        <f>'Dados Geral'!J10</f>
        <v>0</v>
      </c>
      <c r="J9" s="16">
        <f>'Dados Geral'!K10</f>
        <v>0</v>
      </c>
      <c r="K9" s="16">
        <f>'Dados Geral'!L10</f>
        <v>0</v>
      </c>
      <c r="L9" s="16">
        <f>'Dados Geral'!M10</f>
        <v>0</v>
      </c>
      <c r="M9" s="16">
        <f>'Dados Geral'!N10</f>
        <v>1</v>
      </c>
      <c r="N9" s="16">
        <f>'Dados Geral'!O10</f>
        <v>0</v>
      </c>
      <c r="O9" s="16">
        <f>'Dados Geral'!P10</f>
        <v>0</v>
      </c>
      <c r="P9" s="16">
        <f>'Dados Geral'!Q10</f>
        <v>1</v>
      </c>
      <c r="Q9" s="16">
        <f>'Dados Geral'!R10</f>
        <v>1</v>
      </c>
      <c r="R9" s="16">
        <f>'Dados Geral'!S10</f>
        <v>0</v>
      </c>
      <c r="S9" s="16">
        <f>'Dados Geral'!T10</f>
        <v>0</v>
      </c>
      <c r="T9" s="16">
        <f>'Dados Geral'!U10</f>
        <v>1</v>
      </c>
    </row>
    <row r="10" spans="1:20">
      <c r="A10" s="16" t="str">
        <f>'Dados Geral'!B11</f>
        <v>FAPEG</v>
      </c>
      <c r="B10" s="16">
        <f>'Dados Geral'!C11</f>
        <v>1</v>
      </c>
      <c r="C10" s="16">
        <f>'Dados Geral'!D11</f>
        <v>1</v>
      </c>
      <c r="D10" s="16">
        <f>'Dados Geral'!E11</f>
        <v>1</v>
      </c>
      <c r="E10" s="16">
        <f>'Dados Geral'!F11</f>
        <v>1</v>
      </c>
      <c r="F10" s="16">
        <f>'Dados Geral'!G11</f>
        <v>0</v>
      </c>
      <c r="G10" s="16">
        <f>'Dados Geral'!H11</f>
        <v>1</v>
      </c>
      <c r="H10" s="16">
        <f>'Dados Geral'!I11</f>
        <v>0</v>
      </c>
      <c r="I10" s="16">
        <f>'Dados Geral'!J11</f>
        <v>1</v>
      </c>
      <c r="J10" s="16">
        <f>'Dados Geral'!K11</f>
        <v>1</v>
      </c>
      <c r="K10" s="16">
        <f>'Dados Geral'!L11</f>
        <v>0</v>
      </c>
      <c r="L10" s="16">
        <f>'Dados Geral'!M11</f>
        <v>0</v>
      </c>
      <c r="M10" s="16">
        <f>'Dados Geral'!N11</f>
        <v>1</v>
      </c>
      <c r="N10" s="16">
        <f>'Dados Geral'!O11</f>
        <v>0</v>
      </c>
      <c r="O10" s="16">
        <f>'Dados Geral'!P11</f>
        <v>1</v>
      </c>
      <c r="P10" s="16">
        <f>'Dados Geral'!Q11</f>
        <v>0</v>
      </c>
      <c r="Q10" s="16">
        <f>'Dados Geral'!R11</f>
        <v>1</v>
      </c>
      <c r="R10" s="16">
        <f>'Dados Geral'!S11</f>
        <v>0</v>
      </c>
      <c r="S10" s="16">
        <f>'Dados Geral'!T11</f>
        <v>0</v>
      </c>
      <c r="T10" s="16">
        <f>'Dados Geral'!U11</f>
        <v>1</v>
      </c>
    </row>
    <row r="11" spans="1:20">
      <c r="A11" s="16" t="str">
        <f>'Dados Geral'!B12</f>
        <v>FAPEMA</v>
      </c>
      <c r="B11" s="16">
        <f>'Dados Geral'!C12</f>
        <v>1</v>
      </c>
      <c r="C11" s="16">
        <f>'Dados Geral'!D12</f>
        <v>0</v>
      </c>
      <c r="D11" s="16">
        <f>'Dados Geral'!E12</f>
        <v>0</v>
      </c>
      <c r="E11" s="16">
        <f>'Dados Geral'!F12</f>
        <v>1</v>
      </c>
      <c r="F11" s="16">
        <f>'Dados Geral'!G12</f>
        <v>1</v>
      </c>
      <c r="G11" s="16">
        <f>'Dados Geral'!H12</f>
        <v>0</v>
      </c>
      <c r="H11" s="16">
        <f>'Dados Geral'!I12</f>
        <v>0</v>
      </c>
      <c r="I11" s="16">
        <f>'Dados Geral'!J12</f>
        <v>0</v>
      </c>
      <c r="J11" s="16">
        <f>'Dados Geral'!K12</f>
        <v>1</v>
      </c>
      <c r="K11" s="16">
        <f>'Dados Geral'!L12</f>
        <v>0</v>
      </c>
      <c r="L11" s="16">
        <f>'Dados Geral'!M12</f>
        <v>1</v>
      </c>
      <c r="M11" s="16">
        <f>'Dados Geral'!N12</f>
        <v>0</v>
      </c>
      <c r="N11" s="16">
        <f>'Dados Geral'!O12</f>
        <v>0</v>
      </c>
      <c r="O11" s="16">
        <f>'Dados Geral'!P12</f>
        <v>0</v>
      </c>
      <c r="P11" s="16">
        <f>'Dados Geral'!Q12</f>
        <v>1</v>
      </c>
      <c r="Q11" s="16">
        <f>'Dados Geral'!R12</f>
        <v>0</v>
      </c>
      <c r="R11" s="16">
        <f>'Dados Geral'!S12</f>
        <v>0</v>
      </c>
      <c r="S11" s="16">
        <f>'Dados Geral'!T12</f>
        <v>0</v>
      </c>
      <c r="T11" s="16">
        <f>'Dados Geral'!U12</f>
        <v>1</v>
      </c>
    </row>
    <row r="12" spans="1:20">
      <c r="A12" s="16" t="str">
        <f>'Dados Geral'!B13</f>
        <v>FAPEMAT</v>
      </c>
      <c r="B12" s="16">
        <f>'Dados Geral'!C13</f>
        <v>1</v>
      </c>
      <c r="C12" s="16">
        <f>'Dados Geral'!D13</f>
        <v>0</v>
      </c>
      <c r="D12" s="16">
        <f>'Dados Geral'!E13</f>
        <v>1</v>
      </c>
      <c r="E12" s="16">
        <f>'Dados Geral'!F13</f>
        <v>0</v>
      </c>
      <c r="F12" s="16">
        <f>'Dados Geral'!G13</f>
        <v>1</v>
      </c>
      <c r="G12" s="16">
        <f>'Dados Geral'!H13</f>
        <v>1</v>
      </c>
      <c r="H12" s="16">
        <f>'Dados Geral'!I13</f>
        <v>0</v>
      </c>
      <c r="I12" s="16">
        <f>'Dados Geral'!J13</f>
        <v>0</v>
      </c>
      <c r="J12" s="16">
        <f>'Dados Geral'!K13</f>
        <v>1</v>
      </c>
      <c r="K12" s="16">
        <f>'Dados Geral'!L13</f>
        <v>1</v>
      </c>
      <c r="L12" s="16">
        <f>'Dados Geral'!M13</f>
        <v>0</v>
      </c>
      <c r="M12" s="16">
        <f>'Dados Geral'!N13</f>
        <v>1</v>
      </c>
      <c r="N12" s="16">
        <f>'Dados Geral'!O13</f>
        <v>1</v>
      </c>
      <c r="O12" s="16">
        <f>'Dados Geral'!P13</f>
        <v>0</v>
      </c>
      <c r="P12" s="16">
        <f>'Dados Geral'!Q13</f>
        <v>0</v>
      </c>
      <c r="Q12" s="16">
        <f>'Dados Geral'!R13</f>
        <v>1</v>
      </c>
      <c r="R12" s="16">
        <f>'Dados Geral'!S13</f>
        <v>0</v>
      </c>
      <c r="S12" s="16">
        <f>'Dados Geral'!T13</f>
        <v>1</v>
      </c>
      <c r="T12" s="16">
        <f>'Dados Geral'!U13</f>
        <v>0</v>
      </c>
    </row>
    <row r="13" spans="1:20">
      <c r="A13" s="16" t="str">
        <f>'Dados Geral'!B14</f>
        <v>FUNDECT</v>
      </c>
      <c r="B13" s="16">
        <f>'Dados Geral'!C14</f>
        <v>1</v>
      </c>
      <c r="C13" s="16">
        <f>'Dados Geral'!D14</f>
        <v>1</v>
      </c>
      <c r="D13" s="16">
        <f>'Dados Geral'!E14</f>
        <v>1</v>
      </c>
      <c r="E13" s="16">
        <f>'Dados Geral'!F14</f>
        <v>1</v>
      </c>
      <c r="F13" s="16">
        <f>'Dados Geral'!G14</f>
        <v>1</v>
      </c>
      <c r="G13" s="16">
        <f>'Dados Geral'!H14</f>
        <v>1</v>
      </c>
      <c r="H13" s="16">
        <f>'Dados Geral'!I14</f>
        <v>0</v>
      </c>
      <c r="I13" s="16">
        <f>'Dados Geral'!J14</f>
        <v>0</v>
      </c>
      <c r="J13" s="16">
        <f>'Dados Geral'!K14</f>
        <v>0</v>
      </c>
      <c r="K13" s="16">
        <f>'Dados Geral'!L14</f>
        <v>1</v>
      </c>
      <c r="L13" s="16">
        <f>'Dados Geral'!M14</f>
        <v>1</v>
      </c>
      <c r="M13" s="16">
        <f>'Dados Geral'!N14</f>
        <v>1</v>
      </c>
      <c r="N13" s="16">
        <f>'Dados Geral'!O14</f>
        <v>0</v>
      </c>
      <c r="O13" s="16">
        <f>'Dados Geral'!P14</f>
        <v>0</v>
      </c>
      <c r="P13" s="16">
        <f>'Dados Geral'!Q14</f>
        <v>1</v>
      </c>
      <c r="Q13" s="16">
        <f>'Dados Geral'!R14</f>
        <v>1</v>
      </c>
      <c r="R13" s="16">
        <f>'Dados Geral'!S14</f>
        <v>0</v>
      </c>
      <c r="S13" s="16">
        <f>'Dados Geral'!T14</f>
        <v>1</v>
      </c>
      <c r="T13" s="16">
        <f>'Dados Geral'!U14</f>
        <v>1</v>
      </c>
    </row>
    <row r="14" spans="1:20">
      <c r="A14" s="16" t="str">
        <f>'Dados Geral'!B15</f>
        <v>FAPEMIG</v>
      </c>
      <c r="B14" s="16">
        <f>'Dados Geral'!C15</f>
        <v>1</v>
      </c>
      <c r="C14" s="16">
        <f>'Dados Geral'!D15</f>
        <v>1</v>
      </c>
      <c r="D14" s="16">
        <f>'Dados Geral'!E15</f>
        <v>1</v>
      </c>
      <c r="E14" s="16">
        <f>'Dados Geral'!F15</f>
        <v>1</v>
      </c>
      <c r="F14" s="16">
        <f>'Dados Geral'!G15</f>
        <v>1</v>
      </c>
      <c r="G14" s="16">
        <f>'Dados Geral'!H15</f>
        <v>1</v>
      </c>
      <c r="H14" s="16">
        <f>'Dados Geral'!I15</f>
        <v>1</v>
      </c>
      <c r="I14" s="16">
        <f>'Dados Geral'!J15</f>
        <v>1</v>
      </c>
      <c r="J14" s="16">
        <f>'Dados Geral'!K15</f>
        <v>0</v>
      </c>
      <c r="K14" s="16">
        <f>'Dados Geral'!L15</f>
        <v>1</v>
      </c>
      <c r="L14" s="16">
        <f>'Dados Geral'!M15</f>
        <v>1</v>
      </c>
      <c r="M14" s="16">
        <f>'Dados Geral'!N15</f>
        <v>1</v>
      </c>
      <c r="N14" s="16">
        <f>'Dados Geral'!O15</f>
        <v>1</v>
      </c>
      <c r="O14" s="16">
        <f>'Dados Geral'!P15</f>
        <v>0</v>
      </c>
      <c r="P14" s="16">
        <f>'Dados Geral'!Q15</f>
        <v>1</v>
      </c>
      <c r="Q14" s="16">
        <f>'Dados Geral'!R15</f>
        <v>1</v>
      </c>
      <c r="R14" s="16">
        <f>'Dados Geral'!S15</f>
        <v>1</v>
      </c>
      <c r="S14" s="16">
        <f>'Dados Geral'!T15</f>
        <v>0</v>
      </c>
      <c r="T14" s="16">
        <f>'Dados Geral'!U15</f>
        <v>1</v>
      </c>
    </row>
    <row r="15" spans="1:20">
      <c r="A15" s="16" t="str">
        <f>'Dados Geral'!B16</f>
        <v>FAPESPA</v>
      </c>
      <c r="B15" s="16">
        <f>'Dados Geral'!C16</f>
        <v>1</v>
      </c>
      <c r="C15" s="16">
        <f>'Dados Geral'!D16</f>
        <v>1</v>
      </c>
      <c r="D15" s="16">
        <f>'Dados Geral'!E16</f>
        <v>1</v>
      </c>
      <c r="E15" s="16">
        <f>'Dados Geral'!F16</f>
        <v>1</v>
      </c>
      <c r="F15" s="16">
        <f>'Dados Geral'!G16</f>
        <v>1</v>
      </c>
      <c r="G15" s="16">
        <f>'Dados Geral'!H16</f>
        <v>0</v>
      </c>
      <c r="H15" s="16">
        <f>'Dados Geral'!I16</f>
        <v>1</v>
      </c>
      <c r="I15" s="16">
        <f>'Dados Geral'!J16</f>
        <v>1</v>
      </c>
      <c r="J15" s="16">
        <f>'Dados Geral'!K16</f>
        <v>0</v>
      </c>
      <c r="K15" s="16">
        <f>'Dados Geral'!L16</f>
        <v>1</v>
      </c>
      <c r="L15" s="16">
        <f>'Dados Geral'!M16</f>
        <v>1</v>
      </c>
      <c r="M15" s="16">
        <f>'Dados Geral'!N16</f>
        <v>1</v>
      </c>
      <c r="N15" s="16">
        <f>'Dados Geral'!O16</f>
        <v>0</v>
      </c>
      <c r="O15" s="16">
        <f>'Dados Geral'!P16</f>
        <v>0</v>
      </c>
      <c r="P15" s="16">
        <f>'Dados Geral'!Q16</f>
        <v>0</v>
      </c>
      <c r="Q15" s="16">
        <f>'Dados Geral'!R16</f>
        <v>1</v>
      </c>
      <c r="R15" s="16">
        <f>'Dados Geral'!S16</f>
        <v>1</v>
      </c>
      <c r="S15" s="16">
        <f>'Dados Geral'!T16</f>
        <v>1</v>
      </c>
      <c r="T15" s="16">
        <f>'Dados Geral'!U16</f>
        <v>1</v>
      </c>
    </row>
    <row r="16" spans="1:20">
      <c r="A16" s="16" t="str">
        <f>'Dados Geral'!B17</f>
        <v>FAPESQ</v>
      </c>
      <c r="B16" s="16">
        <f>'Dados Geral'!C17</f>
        <v>1</v>
      </c>
      <c r="C16" s="16">
        <f>'Dados Geral'!D17</f>
        <v>1</v>
      </c>
      <c r="D16" s="16">
        <f>'Dados Geral'!E17</f>
        <v>1</v>
      </c>
      <c r="E16" s="16">
        <f>'Dados Geral'!F17</f>
        <v>1</v>
      </c>
      <c r="F16" s="16">
        <f>'Dados Geral'!G17</f>
        <v>1</v>
      </c>
      <c r="G16" s="16">
        <f>'Dados Geral'!H17</f>
        <v>0</v>
      </c>
      <c r="H16" s="16">
        <f>'Dados Geral'!I17</f>
        <v>0</v>
      </c>
      <c r="I16" s="16">
        <f>'Dados Geral'!J17</f>
        <v>1</v>
      </c>
      <c r="J16" s="16">
        <f>'Dados Geral'!K17</f>
        <v>0</v>
      </c>
      <c r="K16" s="16">
        <f>'Dados Geral'!L17</f>
        <v>1</v>
      </c>
      <c r="L16" s="16">
        <f>'Dados Geral'!M17</f>
        <v>0</v>
      </c>
      <c r="M16" s="16">
        <f>'Dados Geral'!N17</f>
        <v>0</v>
      </c>
      <c r="N16" s="16">
        <f>'Dados Geral'!O17</f>
        <v>1</v>
      </c>
      <c r="O16" s="16">
        <f>'Dados Geral'!P17</f>
        <v>0</v>
      </c>
      <c r="P16" s="16">
        <f>'Dados Geral'!Q17</f>
        <v>0</v>
      </c>
      <c r="Q16" s="16">
        <f>'Dados Geral'!R17</f>
        <v>1</v>
      </c>
      <c r="R16" s="16">
        <f>'Dados Geral'!S17</f>
        <v>1</v>
      </c>
      <c r="S16" s="16">
        <f>'Dados Geral'!T17</f>
        <v>0</v>
      </c>
      <c r="T16" s="16">
        <f>'Dados Geral'!U17</f>
        <v>1</v>
      </c>
    </row>
    <row r="17" spans="1:20">
      <c r="A17" s="16" t="str">
        <f>'Dados Geral'!B18</f>
        <v>FA</v>
      </c>
      <c r="B17" s="16">
        <f>'Dados Geral'!C18</f>
        <v>1</v>
      </c>
      <c r="C17" s="16">
        <f>'Dados Geral'!D18</f>
        <v>1</v>
      </c>
      <c r="D17" s="16">
        <f>'Dados Geral'!E18</f>
        <v>1</v>
      </c>
      <c r="E17" s="16">
        <f>'Dados Geral'!F18</f>
        <v>1</v>
      </c>
      <c r="F17" s="16">
        <f>'Dados Geral'!G18</f>
        <v>1</v>
      </c>
      <c r="G17" s="16">
        <f>'Dados Geral'!H18</f>
        <v>0</v>
      </c>
      <c r="H17" s="16">
        <f>'Dados Geral'!I18</f>
        <v>0</v>
      </c>
      <c r="I17" s="16">
        <f>'Dados Geral'!J18</f>
        <v>0</v>
      </c>
      <c r="J17" s="16">
        <f>'Dados Geral'!K18</f>
        <v>0</v>
      </c>
      <c r="K17" s="16">
        <f>'Dados Geral'!L18</f>
        <v>1</v>
      </c>
      <c r="L17" s="16">
        <f>'Dados Geral'!M18</f>
        <v>1</v>
      </c>
      <c r="M17" s="16">
        <f>'Dados Geral'!N18</f>
        <v>1</v>
      </c>
      <c r="N17" s="16">
        <f>'Dados Geral'!O18</f>
        <v>1</v>
      </c>
      <c r="O17" s="16">
        <f>'Dados Geral'!P18</f>
        <v>0</v>
      </c>
      <c r="P17" s="16">
        <f>'Dados Geral'!Q18</f>
        <v>0</v>
      </c>
      <c r="Q17" s="16">
        <f>'Dados Geral'!R18</f>
        <v>1</v>
      </c>
      <c r="R17" s="16">
        <f>'Dados Geral'!S18</f>
        <v>0</v>
      </c>
      <c r="S17" s="16">
        <f>'Dados Geral'!T18</f>
        <v>1</v>
      </c>
      <c r="T17" s="16">
        <f>'Dados Geral'!U18</f>
        <v>1</v>
      </c>
    </row>
    <row r="18" spans="1:20">
      <c r="A18" s="16" t="str">
        <f>'Dados Geral'!B19</f>
        <v>FACEPE</v>
      </c>
      <c r="B18" s="16">
        <f>'Dados Geral'!C19</f>
        <v>1</v>
      </c>
      <c r="C18" s="16">
        <f>'Dados Geral'!D19</f>
        <v>1</v>
      </c>
      <c r="D18" s="16">
        <f>'Dados Geral'!E19</f>
        <v>1</v>
      </c>
      <c r="E18" s="16">
        <f>'Dados Geral'!F19</f>
        <v>1</v>
      </c>
      <c r="F18" s="16">
        <f>'Dados Geral'!G19</f>
        <v>1</v>
      </c>
      <c r="G18" s="16">
        <f>'Dados Geral'!H19</f>
        <v>0</v>
      </c>
      <c r="H18" s="16">
        <f>'Dados Geral'!I19</f>
        <v>0</v>
      </c>
      <c r="I18" s="16">
        <f>'Dados Geral'!J19</f>
        <v>1</v>
      </c>
      <c r="J18" s="16">
        <f>'Dados Geral'!K19</f>
        <v>0</v>
      </c>
      <c r="K18" s="16">
        <f>'Dados Geral'!L19</f>
        <v>1</v>
      </c>
      <c r="L18" s="16">
        <f>'Dados Geral'!M19</f>
        <v>0</v>
      </c>
      <c r="M18" s="16">
        <f>'Dados Geral'!N19</f>
        <v>0</v>
      </c>
      <c r="N18" s="16">
        <f>'Dados Geral'!O19</f>
        <v>1</v>
      </c>
      <c r="O18" s="16">
        <f>'Dados Geral'!P19</f>
        <v>0</v>
      </c>
      <c r="P18" s="16">
        <f>'Dados Geral'!Q19</f>
        <v>1</v>
      </c>
      <c r="Q18" s="16">
        <f>'Dados Geral'!R19</f>
        <v>1</v>
      </c>
      <c r="R18" s="16">
        <f>'Dados Geral'!S19</f>
        <v>1</v>
      </c>
      <c r="S18" s="16">
        <f>'Dados Geral'!T19</f>
        <v>0</v>
      </c>
      <c r="T18" s="16">
        <f>'Dados Geral'!U19</f>
        <v>1</v>
      </c>
    </row>
    <row r="19" spans="1:20">
      <c r="A19" s="16" t="str">
        <f>'Dados Geral'!B20</f>
        <v>FAPEPI</v>
      </c>
      <c r="B19" s="16">
        <f>'Dados Geral'!C20</f>
        <v>1</v>
      </c>
      <c r="C19" s="16">
        <f>'Dados Geral'!D20</f>
        <v>1</v>
      </c>
      <c r="D19" s="16">
        <f>'Dados Geral'!E20</f>
        <v>1</v>
      </c>
      <c r="E19" s="16">
        <f>'Dados Geral'!F20</f>
        <v>1</v>
      </c>
      <c r="F19" s="16">
        <f>'Dados Geral'!G20</f>
        <v>1</v>
      </c>
      <c r="G19" s="16">
        <f>'Dados Geral'!H20</f>
        <v>1</v>
      </c>
      <c r="H19" s="16">
        <f>'Dados Geral'!I20</f>
        <v>1</v>
      </c>
      <c r="I19" s="16">
        <f>'Dados Geral'!J20</f>
        <v>0</v>
      </c>
      <c r="J19" s="16">
        <f>'Dados Geral'!K20</f>
        <v>0</v>
      </c>
      <c r="K19" s="16">
        <f>'Dados Geral'!L20</f>
        <v>1</v>
      </c>
      <c r="L19" s="16">
        <f>'Dados Geral'!M20</f>
        <v>0</v>
      </c>
      <c r="M19" s="16">
        <f>'Dados Geral'!N20</f>
        <v>0</v>
      </c>
      <c r="N19" s="16">
        <f>'Dados Geral'!O20</f>
        <v>1</v>
      </c>
      <c r="O19" s="16">
        <f>'Dados Geral'!P20</f>
        <v>1</v>
      </c>
      <c r="P19" s="16">
        <f>'Dados Geral'!Q20</f>
        <v>0</v>
      </c>
      <c r="Q19" s="16">
        <f>'Dados Geral'!R20</f>
        <v>1</v>
      </c>
      <c r="R19" s="16">
        <f>'Dados Geral'!S20</f>
        <v>1</v>
      </c>
      <c r="S19" s="16">
        <f>'Dados Geral'!T20</f>
        <v>0</v>
      </c>
      <c r="T19" s="16">
        <f>'Dados Geral'!U20</f>
        <v>1</v>
      </c>
    </row>
    <row r="20" spans="1:20">
      <c r="A20" s="16" t="str">
        <f>'Dados Geral'!B21</f>
        <v>FAPERJ</v>
      </c>
      <c r="B20" s="16">
        <f>'Dados Geral'!C21</f>
        <v>0</v>
      </c>
      <c r="C20" s="16">
        <f>'Dados Geral'!D21</f>
        <v>0</v>
      </c>
      <c r="D20" s="16">
        <f>'Dados Geral'!E21</f>
        <v>1</v>
      </c>
      <c r="E20" s="16">
        <f>'Dados Geral'!F21</f>
        <v>0</v>
      </c>
      <c r="F20" s="16">
        <f>'Dados Geral'!G21</f>
        <v>1</v>
      </c>
      <c r="G20" s="16">
        <f>'Dados Geral'!H21</f>
        <v>1</v>
      </c>
      <c r="H20" s="16">
        <f>'Dados Geral'!I21</f>
        <v>0</v>
      </c>
      <c r="I20" s="16">
        <f>'Dados Geral'!J21</f>
        <v>1</v>
      </c>
      <c r="J20" s="16">
        <f>'Dados Geral'!K21</f>
        <v>0</v>
      </c>
      <c r="K20" s="16">
        <f>'Dados Geral'!L21</f>
        <v>1</v>
      </c>
      <c r="L20" s="16">
        <f>'Dados Geral'!M21</f>
        <v>1</v>
      </c>
      <c r="M20" s="16">
        <f>'Dados Geral'!N21</f>
        <v>0</v>
      </c>
      <c r="N20" s="16">
        <f>'Dados Geral'!O21</f>
        <v>1</v>
      </c>
      <c r="O20" s="16">
        <f>'Dados Geral'!P21</f>
        <v>0</v>
      </c>
      <c r="P20" s="16">
        <f>'Dados Geral'!Q21</f>
        <v>1</v>
      </c>
      <c r="Q20" s="16">
        <f>'Dados Geral'!R21</f>
        <v>0</v>
      </c>
      <c r="R20" s="16">
        <f>'Dados Geral'!S21</f>
        <v>1</v>
      </c>
      <c r="S20" s="16">
        <f>'Dados Geral'!T21</f>
        <v>1</v>
      </c>
      <c r="T20" s="16">
        <f>'Dados Geral'!U21</f>
        <v>1</v>
      </c>
    </row>
    <row r="21" spans="1:20">
      <c r="A21" s="16" t="str">
        <f>'Dados Geral'!B22</f>
        <v>FAPERN</v>
      </c>
      <c r="B21" s="16">
        <f>'Dados Geral'!C22</f>
        <v>1</v>
      </c>
      <c r="C21" s="16">
        <f>'Dados Geral'!D22</f>
        <v>1</v>
      </c>
      <c r="D21" s="16">
        <f>'Dados Geral'!E22</f>
        <v>1</v>
      </c>
      <c r="E21" s="16">
        <f>'Dados Geral'!F22</f>
        <v>1</v>
      </c>
      <c r="F21" s="16">
        <f>'Dados Geral'!G22</f>
        <v>1</v>
      </c>
      <c r="G21" s="16">
        <f>'Dados Geral'!H22</f>
        <v>1</v>
      </c>
      <c r="H21" s="16">
        <f>'Dados Geral'!I22</f>
        <v>1</v>
      </c>
      <c r="I21" s="16">
        <f>'Dados Geral'!J22</f>
        <v>1</v>
      </c>
      <c r="J21" s="16">
        <f>'Dados Geral'!K22</f>
        <v>1</v>
      </c>
      <c r="K21" s="16">
        <f>'Dados Geral'!L22</f>
        <v>1</v>
      </c>
      <c r="L21" s="16">
        <f>'Dados Geral'!M22</f>
        <v>1</v>
      </c>
      <c r="M21" s="16">
        <f>'Dados Geral'!N22</f>
        <v>1</v>
      </c>
      <c r="N21" s="16">
        <f>'Dados Geral'!O22</f>
        <v>0</v>
      </c>
      <c r="O21" s="16">
        <f>'Dados Geral'!P22</f>
        <v>0</v>
      </c>
      <c r="P21" s="16">
        <f>'Dados Geral'!Q22</f>
        <v>0</v>
      </c>
      <c r="Q21" s="16">
        <f>'Dados Geral'!R22</f>
        <v>1</v>
      </c>
      <c r="R21" s="16">
        <f>'Dados Geral'!S22</f>
        <v>1</v>
      </c>
      <c r="S21" s="16">
        <f>'Dados Geral'!T22</f>
        <v>1</v>
      </c>
      <c r="T21" s="16">
        <f>'Dados Geral'!U22</f>
        <v>1</v>
      </c>
    </row>
    <row r="22" spans="1:20">
      <c r="A22" s="16" t="str">
        <f>'Dados Geral'!B23</f>
        <v>FAPERGS</v>
      </c>
      <c r="B22" s="16">
        <f>'Dados Geral'!C23</f>
        <v>1</v>
      </c>
      <c r="C22" s="16">
        <f>'Dados Geral'!D23</f>
        <v>1</v>
      </c>
      <c r="D22" s="16">
        <f>'Dados Geral'!E23</f>
        <v>1</v>
      </c>
      <c r="E22" s="16">
        <f>'Dados Geral'!F23</f>
        <v>1</v>
      </c>
      <c r="F22" s="16">
        <f>'Dados Geral'!G23</f>
        <v>1</v>
      </c>
      <c r="G22" s="16">
        <f>'Dados Geral'!H23</f>
        <v>1</v>
      </c>
      <c r="H22" s="16">
        <f>'Dados Geral'!I23</f>
        <v>1</v>
      </c>
      <c r="I22" s="16">
        <f>'Dados Geral'!J23</f>
        <v>0</v>
      </c>
      <c r="J22" s="16">
        <f>'Dados Geral'!K23</f>
        <v>0</v>
      </c>
      <c r="K22" s="16">
        <f>'Dados Geral'!L23</f>
        <v>1</v>
      </c>
      <c r="L22" s="16">
        <f>'Dados Geral'!M23</f>
        <v>0</v>
      </c>
      <c r="M22" s="16">
        <f>'Dados Geral'!N23</f>
        <v>0</v>
      </c>
      <c r="N22" s="16">
        <f>'Dados Geral'!O23</f>
        <v>0</v>
      </c>
      <c r="O22" s="16">
        <f>'Dados Geral'!P23</f>
        <v>1</v>
      </c>
      <c r="P22" s="16">
        <f>'Dados Geral'!Q23</f>
        <v>1</v>
      </c>
      <c r="Q22" s="16">
        <f>'Dados Geral'!R23</f>
        <v>1</v>
      </c>
      <c r="R22" s="16">
        <f>'Dados Geral'!S23</f>
        <v>1</v>
      </c>
      <c r="S22" s="16">
        <f>'Dados Geral'!T23</f>
        <v>0</v>
      </c>
      <c r="T22" s="16">
        <f>'Dados Geral'!U23</f>
        <v>1</v>
      </c>
    </row>
    <row r="23" spans="1:20">
      <c r="A23" s="16" t="str">
        <f>'Dados Geral'!B24</f>
        <v>FAPERO</v>
      </c>
      <c r="B23" s="16">
        <f>'Dados Geral'!C24</f>
        <v>0</v>
      </c>
      <c r="C23" s="16">
        <f>'Dados Geral'!D24</f>
        <v>0</v>
      </c>
      <c r="D23" s="16">
        <f>'Dados Geral'!E24</f>
        <v>0</v>
      </c>
      <c r="E23" s="16">
        <f>'Dados Geral'!F24</f>
        <v>0</v>
      </c>
      <c r="F23" s="16">
        <f>'Dados Geral'!G24</f>
        <v>0</v>
      </c>
      <c r="G23" s="16">
        <f>'Dados Geral'!H24</f>
        <v>0</v>
      </c>
      <c r="H23" s="16">
        <f>'Dados Geral'!I24</f>
        <v>1</v>
      </c>
      <c r="I23" s="16">
        <f>'Dados Geral'!J24</f>
        <v>1</v>
      </c>
      <c r="J23" s="16">
        <f>'Dados Geral'!K24</f>
        <v>1</v>
      </c>
      <c r="K23" s="16">
        <f>'Dados Geral'!L24</f>
        <v>0</v>
      </c>
      <c r="L23" s="16">
        <f>'Dados Geral'!M24</f>
        <v>1</v>
      </c>
      <c r="M23" s="16">
        <f>'Dados Geral'!N24</f>
        <v>0</v>
      </c>
      <c r="N23" s="16">
        <f>'Dados Geral'!O24</f>
        <v>1</v>
      </c>
      <c r="O23" s="16">
        <f>'Dados Geral'!P24</f>
        <v>1</v>
      </c>
      <c r="P23" s="16">
        <f>'Dados Geral'!Q24</f>
        <v>1</v>
      </c>
      <c r="Q23" s="16">
        <f>'Dados Geral'!R24</f>
        <v>0</v>
      </c>
      <c r="R23" s="16">
        <f>'Dados Geral'!S24</f>
        <v>0</v>
      </c>
      <c r="S23" s="16">
        <f>'Dados Geral'!T24</f>
        <v>1</v>
      </c>
      <c r="T23" s="16">
        <f>'Dados Geral'!U24</f>
        <v>0</v>
      </c>
    </row>
    <row r="24" spans="1:20">
      <c r="A24" s="16" t="str">
        <f>'Dados Geral'!B25</f>
        <v>FAPERR</v>
      </c>
      <c r="B24" s="16">
        <f>'Dados Geral'!C25</f>
        <v>0</v>
      </c>
      <c r="C24" s="16">
        <f>'Dados Geral'!D25</f>
        <v>0</v>
      </c>
      <c r="D24" s="16">
        <f>'Dados Geral'!E25</f>
        <v>0</v>
      </c>
      <c r="E24" s="16">
        <f>'Dados Geral'!F25</f>
        <v>0</v>
      </c>
      <c r="F24" s="16">
        <f>'Dados Geral'!G25</f>
        <v>0</v>
      </c>
      <c r="G24" s="16">
        <f>'Dados Geral'!H25</f>
        <v>1</v>
      </c>
      <c r="H24" s="16">
        <f>'Dados Geral'!I25</f>
        <v>1</v>
      </c>
      <c r="I24" s="16">
        <f>'Dados Geral'!J25</f>
        <v>0</v>
      </c>
      <c r="J24" s="16">
        <f>'Dados Geral'!K25</f>
        <v>1</v>
      </c>
      <c r="K24" s="16">
        <f>'Dados Geral'!L25</f>
        <v>0</v>
      </c>
      <c r="L24" s="16">
        <f>'Dados Geral'!M25</f>
        <v>0</v>
      </c>
      <c r="M24" s="16">
        <f>'Dados Geral'!N25</f>
        <v>1</v>
      </c>
      <c r="N24" s="16">
        <f>'Dados Geral'!O25</f>
        <v>0</v>
      </c>
      <c r="O24" s="16">
        <f>'Dados Geral'!P25</f>
        <v>1</v>
      </c>
      <c r="P24" s="16">
        <f>'Dados Geral'!Q25</f>
        <v>0</v>
      </c>
      <c r="Q24" s="16">
        <f>'Dados Geral'!R25</f>
        <v>0</v>
      </c>
      <c r="R24" s="16">
        <f>'Dados Geral'!S25</f>
        <v>0</v>
      </c>
      <c r="S24" s="16">
        <f>'Dados Geral'!T25</f>
        <v>1</v>
      </c>
      <c r="T24" s="16">
        <f>'Dados Geral'!U25</f>
        <v>0</v>
      </c>
    </row>
    <row r="25" spans="1:20">
      <c r="A25" s="16" t="str">
        <f>'Dados Geral'!B26</f>
        <v>FAPESC</v>
      </c>
      <c r="B25" s="16">
        <f>'Dados Geral'!C26</f>
        <v>0</v>
      </c>
      <c r="C25" s="16">
        <f>'Dados Geral'!D26</f>
        <v>1</v>
      </c>
      <c r="D25" s="16">
        <f>'Dados Geral'!E26</f>
        <v>0</v>
      </c>
      <c r="E25" s="16">
        <f>'Dados Geral'!F26</f>
        <v>1</v>
      </c>
      <c r="F25" s="16">
        <f>'Dados Geral'!G26</f>
        <v>0</v>
      </c>
      <c r="G25" s="16">
        <f>'Dados Geral'!H26</f>
        <v>1</v>
      </c>
      <c r="H25" s="16">
        <f>'Dados Geral'!I26</f>
        <v>1</v>
      </c>
      <c r="I25" s="16">
        <f>'Dados Geral'!J26</f>
        <v>1</v>
      </c>
      <c r="J25" s="16">
        <f>'Dados Geral'!K26</f>
        <v>1</v>
      </c>
      <c r="K25" s="16">
        <f>'Dados Geral'!L26</f>
        <v>0</v>
      </c>
      <c r="L25" s="16">
        <f>'Dados Geral'!M26</f>
        <v>1</v>
      </c>
      <c r="M25" s="16">
        <f>'Dados Geral'!N26</f>
        <v>0</v>
      </c>
      <c r="N25" s="16">
        <f>'Dados Geral'!O26</f>
        <v>1</v>
      </c>
      <c r="O25" s="16">
        <f>'Dados Geral'!P26</f>
        <v>0</v>
      </c>
      <c r="P25" s="16">
        <f>'Dados Geral'!Q26</f>
        <v>1</v>
      </c>
      <c r="Q25" s="16">
        <f>'Dados Geral'!R26</f>
        <v>1</v>
      </c>
      <c r="R25" s="16">
        <f>'Dados Geral'!S26</f>
        <v>0</v>
      </c>
      <c r="S25" s="16">
        <f>'Dados Geral'!T26</f>
        <v>1</v>
      </c>
      <c r="T25" s="16">
        <f>'Dados Geral'!U26</f>
        <v>0</v>
      </c>
    </row>
    <row r="26" spans="1:20">
      <c r="A26" s="16" t="str">
        <f>'Dados Geral'!B27</f>
        <v>FAPESP</v>
      </c>
      <c r="B26" s="16">
        <f>'Dados Geral'!C27</f>
        <v>1</v>
      </c>
      <c r="C26" s="16">
        <f>'Dados Geral'!D27</f>
        <v>1</v>
      </c>
      <c r="D26" s="16">
        <f>'Dados Geral'!E27</f>
        <v>1</v>
      </c>
      <c r="E26" s="16">
        <f>'Dados Geral'!F27</f>
        <v>1</v>
      </c>
      <c r="F26" s="16">
        <f>'Dados Geral'!G27</f>
        <v>1</v>
      </c>
      <c r="G26" s="16">
        <f>'Dados Geral'!H27</f>
        <v>0</v>
      </c>
      <c r="H26" s="16">
        <f>'Dados Geral'!I27</f>
        <v>1</v>
      </c>
      <c r="I26" s="16">
        <f>'Dados Geral'!J27</f>
        <v>1</v>
      </c>
      <c r="J26" s="16">
        <f>'Dados Geral'!K27</f>
        <v>1</v>
      </c>
      <c r="K26" s="16">
        <f>'Dados Geral'!L27</f>
        <v>1</v>
      </c>
      <c r="L26" s="16">
        <f>'Dados Geral'!M27</f>
        <v>0</v>
      </c>
      <c r="M26" s="16">
        <f>'Dados Geral'!N27</f>
        <v>1</v>
      </c>
      <c r="N26" s="16">
        <f>'Dados Geral'!O27</f>
        <v>1</v>
      </c>
      <c r="O26" s="16">
        <f>'Dados Geral'!P27</f>
        <v>0</v>
      </c>
      <c r="P26" s="16">
        <f>'Dados Geral'!Q27</f>
        <v>1</v>
      </c>
      <c r="Q26" s="16">
        <f>'Dados Geral'!R27</f>
        <v>1</v>
      </c>
      <c r="R26" s="16">
        <f>'Dados Geral'!S27</f>
        <v>1</v>
      </c>
      <c r="S26" s="16">
        <f>'Dados Geral'!T27</f>
        <v>1</v>
      </c>
      <c r="T26" s="16">
        <f>'Dados Geral'!U27</f>
        <v>1</v>
      </c>
    </row>
    <row r="27" spans="1:20">
      <c r="A27" s="16" t="str">
        <f>'Dados Geral'!B28</f>
        <v>FAPITEC</v>
      </c>
      <c r="B27" s="16">
        <f>'Dados Geral'!C28</f>
        <v>1</v>
      </c>
      <c r="C27" s="16">
        <f>'Dados Geral'!D28</f>
        <v>1</v>
      </c>
      <c r="D27" s="16">
        <f>'Dados Geral'!E28</f>
        <v>1</v>
      </c>
      <c r="E27" s="16">
        <f>'Dados Geral'!F28</f>
        <v>1</v>
      </c>
      <c r="F27" s="16">
        <f>'Dados Geral'!G28</f>
        <v>1</v>
      </c>
      <c r="G27" s="16">
        <f>'Dados Geral'!H28</f>
        <v>0</v>
      </c>
      <c r="H27" s="16">
        <f>'Dados Geral'!I28</f>
        <v>0</v>
      </c>
      <c r="I27" s="16">
        <f>'Dados Geral'!J28</f>
        <v>1</v>
      </c>
      <c r="J27" s="16">
        <f>'Dados Geral'!K28</f>
        <v>0</v>
      </c>
      <c r="K27" s="16">
        <f>'Dados Geral'!L28</f>
        <v>1</v>
      </c>
      <c r="L27" s="16">
        <f>'Dados Geral'!M28</f>
        <v>0</v>
      </c>
      <c r="M27" s="16">
        <f>'Dados Geral'!N28</f>
        <v>0</v>
      </c>
      <c r="N27" s="16">
        <f>'Dados Geral'!O28</f>
        <v>0</v>
      </c>
      <c r="O27" s="16">
        <f>'Dados Geral'!P28</f>
        <v>0</v>
      </c>
      <c r="P27" s="16">
        <f>'Dados Geral'!Q28</f>
        <v>0</v>
      </c>
      <c r="Q27" s="16">
        <f>'Dados Geral'!R28</f>
        <v>1</v>
      </c>
      <c r="R27" s="16">
        <f>'Dados Geral'!S28</f>
        <v>0</v>
      </c>
      <c r="S27" s="16">
        <f>'Dados Geral'!T28</f>
        <v>0</v>
      </c>
      <c r="T27" s="16">
        <f>'Dados Geral'!U28</f>
        <v>1</v>
      </c>
    </row>
    <row r="28" spans="1:20">
      <c r="A28" s="16" t="str">
        <f>'Dados Geral'!B29</f>
        <v>FAPT</v>
      </c>
      <c r="B28" s="16">
        <f>'Dados Geral'!C29</f>
        <v>0</v>
      </c>
      <c r="C28" s="16">
        <f>'Dados Geral'!D29</f>
        <v>0</v>
      </c>
      <c r="D28" s="16">
        <f>'Dados Geral'!E29</f>
        <v>0</v>
      </c>
      <c r="E28" s="16">
        <f>'Dados Geral'!F29</f>
        <v>0</v>
      </c>
      <c r="F28" s="16">
        <f>'Dados Geral'!G29</f>
        <v>0</v>
      </c>
      <c r="G28" s="16">
        <f>'Dados Geral'!H29</f>
        <v>0</v>
      </c>
      <c r="H28" s="16">
        <f>'Dados Geral'!I29</f>
        <v>0</v>
      </c>
      <c r="I28" s="16">
        <f>'Dados Geral'!J29</f>
        <v>0</v>
      </c>
      <c r="J28" s="16">
        <f>'Dados Geral'!K29</f>
        <v>1</v>
      </c>
      <c r="K28" s="16">
        <f>'Dados Geral'!L29</f>
        <v>0</v>
      </c>
      <c r="L28" s="16">
        <f>'Dados Geral'!M29</f>
        <v>1</v>
      </c>
      <c r="M28" s="16">
        <f>'Dados Geral'!N29</f>
        <v>1</v>
      </c>
      <c r="N28" s="16">
        <f>'Dados Geral'!O29</f>
        <v>1</v>
      </c>
      <c r="O28" s="16">
        <f>'Dados Geral'!P29</f>
        <v>0</v>
      </c>
      <c r="P28" s="16">
        <f>'Dados Geral'!Q29</f>
        <v>0</v>
      </c>
      <c r="Q28" s="16">
        <f>'Dados Geral'!R29</f>
        <v>0</v>
      </c>
      <c r="R28" s="16">
        <f>'Dados Geral'!S29</f>
        <v>0</v>
      </c>
      <c r="S28" s="16">
        <f>'Dados Geral'!T29</f>
        <v>0</v>
      </c>
      <c r="T28" s="16">
        <f>'Dados Geral'!U29</f>
        <v>0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G28"/>
  <sheetViews>
    <sheetView workbookViewId="0"/>
  </sheetViews>
  <sheetFormatPr defaultColWidth="14.42578125" defaultRowHeight="15" customHeight="1"/>
  <sheetData>
    <row r="1" spans="1:33">
      <c r="A1" s="16" t="str">
        <f>'Dados Geral'!B2</f>
        <v>FUNDAÇÃO</v>
      </c>
      <c r="B1" s="16" t="str">
        <f>'Dados Geral'!V2</f>
        <v>Nomes e histórico sucinto de todos os membros dos conselhos diretivos e de administração</v>
      </c>
      <c r="C1" s="16" t="str">
        <f>'Dados Geral'!W2</f>
        <v>Calendário de reuniões</v>
      </c>
      <c r="D1" s="16" t="str">
        <f>'Dados Geral'!X2</f>
        <v>Estatutos, regulamentos ou regimes internos de funcionamento</v>
      </c>
      <c r="E1" s="16" t="str">
        <f>'Dados Geral'!Y2</f>
        <v>Divulga os acordos adotados nas reuniões convocadas</v>
      </c>
      <c r="F1" s="16" t="str">
        <f>'Dados Geral'!Z2</f>
        <v>Informa sobre os procedimentos de eleição e destituição de membros do conselho de administração curadores</v>
      </c>
      <c r="G1" s="16" t="str">
        <f>'Dados Geral'!AA2</f>
        <v>Informa sobre a política de remuneração dos componentes do conselho diretivo e de administração</v>
      </c>
      <c r="H1" s="16" t="str">
        <f>'Dados Geral'!AB2</f>
        <v>Eixo estratégico do orçamento</v>
      </c>
      <c r="I1" s="16" t="str">
        <f>'Dados Geral'!AC2</f>
        <v>Orçamento distribuído por programas, projetos e convênios</v>
      </c>
      <c r="J1" s="16" t="str">
        <f>'Dados Geral'!AD2</f>
        <v>Despesas orçamentárias por classe</v>
      </c>
      <c r="K1" s="16" t="str">
        <f>'Dados Geral'!AE2</f>
        <v>Oferece resumos de dados financeiros</v>
      </c>
      <c r="L1" s="16" t="str">
        <f>'Dados Geral'!AF2</f>
        <v>Slides e gráficos são incluídos como suporte à apresentação dos dados financeiros</v>
      </c>
      <c r="M1" s="16" t="str">
        <f>'Dados Geral'!AG2</f>
        <v>Relatório anual (2022) -  (gestão, atividades, planejamento estratégico e prestação de contas TCU)</v>
      </c>
      <c r="N1" s="16" t="str">
        <f>'Dados Geral'!AH2</f>
        <v>Relatórios anuais de anos anteriores (mínimo 2 anos) 2021, 2020</v>
      </c>
      <c r="O1" s="16" t="str">
        <f>'Dados Geral'!AI2</f>
        <v>Balanço patrimonial do exercício atual</v>
      </c>
      <c r="P1" s="16" t="str">
        <f>'Dados Geral'!AJ2</f>
        <v>Balanço patrimonial dos anos anteriores (mínimo 2 anos)</v>
      </c>
      <c r="Q1" s="16" t="str">
        <f>'Dados Geral'!AK2</f>
        <v>Demonstração do resultado do exercício atual</v>
      </c>
      <c r="R1" s="16" t="str">
        <f>'Dados Geral'!AL2</f>
        <v>Demonstração do resultado dos anos anteriores (mínimo 2 anos)</v>
      </c>
      <c r="S1" s="16" t="str">
        <f>'Dados Geral'!AM2</f>
        <v>Demonstração das Mutações do Patrimônio Líquido do exercício atual</v>
      </c>
      <c r="T1" s="16" t="str">
        <f>'Dados Geral'!AN2</f>
        <v>Demonstração das Mutações do Patrimônio Líquido dos anos anteriores (mínimo 2 anos)</v>
      </c>
      <c r="U1" s="16" t="str">
        <f>'Dados Geral'!AO2</f>
        <v>Notas explicativas do exercício atual</v>
      </c>
      <c r="V1" s="16" t="str">
        <f>'Dados Geral'!AP2</f>
        <v>Notas explicativas dos anos anteriores (mínimo 2 anos)</v>
      </c>
      <c r="W1" s="16" t="str">
        <f>'Dados Geral'!AQ2</f>
        <v>Demonstrativo de receitas e despesas</v>
      </c>
      <c r="X1" s="16" t="str">
        <f>'Dados Geral'!AR2</f>
        <v>Demonstrativo de receitas e despesas de exercícios anteriores (mínimo 2 anos)</v>
      </c>
      <c r="Y1" s="16" t="str">
        <f>'Dados Geral'!AS2</f>
        <v>Origem e destinação dos recursos por projeto/programa e atividade</v>
      </c>
      <c r="Z1" s="16" t="str">
        <f>'Dados Geral'!AT2</f>
        <v>Rácio entre os custos de captação dos recursos e os custos totais da organização</v>
      </c>
      <c r="AA1" s="16" t="str">
        <f>'Dados Geral'!AU2</f>
        <v>Rácio entre os custos fixos e os custos totais da organização</v>
      </c>
      <c r="AB1" s="16" t="str">
        <f>'Dados Geral'!AV2</f>
        <v>Relatório de auditoria</v>
      </c>
      <c r="AC1" s="16" t="str">
        <f>'Dados Geral'!AW2</f>
        <v>Relatório de auditoria de anos anteriores (mínimo de 2 anos)</v>
      </c>
      <c r="AD1" s="16" t="str">
        <f>'Dados Geral'!AX2</f>
        <v>Apresenta as normas contábeis utilizadas</v>
      </c>
      <c r="AE1" s="16" t="str">
        <f>'Dados Geral'!AY2</f>
        <v>Relatório de avaliação dos projetos e programas, com comparativo entre metas propostas e resultados alcançados</v>
      </c>
      <c r="AF1" s="16" t="str">
        <f>'Dados Geral'!AZ2</f>
        <v>Identificação dos principais fornecedores e coorganizadores das atividades</v>
      </c>
      <c r="AG1" s="16" t="str">
        <f>'Dados Geral'!BA2</f>
        <v>Cópia dos contratos, termos e convênios firmados</v>
      </c>
    </row>
    <row r="2" spans="1:33">
      <c r="A2" s="16" t="str">
        <f>'Dados Geral'!B3</f>
        <v>FAPAC</v>
      </c>
      <c r="B2" s="16">
        <f>'Dados Geral'!V3</f>
        <v>0</v>
      </c>
      <c r="C2" s="16">
        <f>'Dados Geral'!W3</f>
        <v>0</v>
      </c>
      <c r="D2" s="16">
        <f>'Dados Geral'!X3</f>
        <v>0</v>
      </c>
      <c r="E2" s="16">
        <f>'Dados Geral'!Y3</f>
        <v>0</v>
      </c>
      <c r="F2" s="16">
        <f>'Dados Geral'!Z3</f>
        <v>0</v>
      </c>
      <c r="G2" s="16">
        <f>'Dados Geral'!AA3</f>
        <v>1</v>
      </c>
      <c r="H2" s="16">
        <f>'Dados Geral'!AB3</f>
        <v>0</v>
      </c>
      <c r="I2" s="16">
        <f>'Dados Geral'!AC3</f>
        <v>0</v>
      </c>
      <c r="J2" s="16">
        <f>'Dados Geral'!AD3</f>
        <v>0</v>
      </c>
      <c r="K2" s="16">
        <f>'Dados Geral'!AE3</f>
        <v>0</v>
      </c>
      <c r="L2" s="16">
        <f>'Dados Geral'!AF3</f>
        <v>0</v>
      </c>
      <c r="M2" s="16">
        <f>'Dados Geral'!AG3</f>
        <v>0</v>
      </c>
      <c r="N2" s="16">
        <f>'Dados Geral'!AH3</f>
        <v>0</v>
      </c>
      <c r="O2" s="16">
        <f>'Dados Geral'!AI3</f>
        <v>0</v>
      </c>
      <c r="P2" s="16">
        <f>'Dados Geral'!AJ3</f>
        <v>1</v>
      </c>
      <c r="Q2" s="16">
        <f>'Dados Geral'!AK3</f>
        <v>0</v>
      </c>
      <c r="R2" s="16">
        <f>'Dados Geral'!AL3</f>
        <v>0</v>
      </c>
      <c r="S2" s="16">
        <f>'Dados Geral'!AM3</f>
        <v>1</v>
      </c>
      <c r="T2" s="16">
        <f>'Dados Geral'!AN3</f>
        <v>0</v>
      </c>
      <c r="U2" s="16">
        <f>'Dados Geral'!AO3</f>
        <v>0</v>
      </c>
      <c r="V2" s="16">
        <f>'Dados Geral'!AP3</f>
        <v>0</v>
      </c>
      <c r="W2" s="16">
        <f>'Dados Geral'!AQ3</f>
        <v>0</v>
      </c>
      <c r="X2" s="16">
        <f>'Dados Geral'!AR3</f>
        <v>0</v>
      </c>
      <c r="Y2" s="16">
        <f>'Dados Geral'!AS3</f>
        <v>0</v>
      </c>
      <c r="Z2" s="16">
        <f>'Dados Geral'!AT3</f>
        <v>1</v>
      </c>
      <c r="AA2" s="16">
        <f>'Dados Geral'!AU3</f>
        <v>0</v>
      </c>
      <c r="AB2" s="16">
        <f>'Dados Geral'!AV3</f>
        <v>0</v>
      </c>
      <c r="AC2" s="16">
        <f>'Dados Geral'!AW3</f>
        <v>0</v>
      </c>
      <c r="AD2" s="16">
        <f>'Dados Geral'!AX3</f>
        <v>0</v>
      </c>
      <c r="AE2" s="16">
        <f>'Dados Geral'!AY3</f>
        <v>0</v>
      </c>
      <c r="AF2" s="16">
        <f>'Dados Geral'!AZ3</f>
        <v>0</v>
      </c>
      <c r="AG2" s="16">
        <f>'Dados Geral'!BA3</f>
        <v>0</v>
      </c>
    </row>
    <row r="3" spans="1:33">
      <c r="A3" s="16" t="str">
        <f>'Dados Geral'!B4</f>
        <v>PAFEAL</v>
      </c>
      <c r="B3" s="16">
        <f>'Dados Geral'!V4</f>
        <v>1</v>
      </c>
      <c r="C3" s="16">
        <f>'Dados Geral'!W4</f>
        <v>1</v>
      </c>
      <c r="D3" s="16">
        <f>'Dados Geral'!X4</f>
        <v>1</v>
      </c>
      <c r="E3" s="16">
        <f>'Dados Geral'!Y4</f>
        <v>1</v>
      </c>
      <c r="F3" s="16">
        <f>'Dados Geral'!Z4</f>
        <v>1</v>
      </c>
      <c r="G3" s="16">
        <f>'Dados Geral'!AA4</f>
        <v>0</v>
      </c>
      <c r="H3" s="16">
        <f>'Dados Geral'!AB4</f>
        <v>1</v>
      </c>
      <c r="I3" s="16">
        <f>'Dados Geral'!AC4</f>
        <v>1</v>
      </c>
      <c r="J3" s="16">
        <f>'Dados Geral'!AD4</f>
        <v>0</v>
      </c>
      <c r="K3" s="16">
        <f>'Dados Geral'!AE4</f>
        <v>1</v>
      </c>
      <c r="L3" s="16">
        <f>'Dados Geral'!AF4</f>
        <v>1</v>
      </c>
      <c r="M3" s="16">
        <f>'Dados Geral'!AG4</f>
        <v>1</v>
      </c>
      <c r="N3" s="16">
        <f>'Dados Geral'!AH4</f>
        <v>1</v>
      </c>
      <c r="O3" s="16">
        <f>'Dados Geral'!AI4</f>
        <v>0</v>
      </c>
      <c r="P3" s="16">
        <f>'Dados Geral'!AJ4</f>
        <v>1</v>
      </c>
      <c r="Q3" s="16">
        <f>'Dados Geral'!AK4</f>
        <v>1</v>
      </c>
      <c r="R3" s="16">
        <f>'Dados Geral'!AL4</f>
        <v>0</v>
      </c>
      <c r="S3" s="16">
        <f>'Dados Geral'!AM4</f>
        <v>1</v>
      </c>
      <c r="T3" s="16">
        <f>'Dados Geral'!AN4</f>
        <v>1</v>
      </c>
      <c r="U3" s="16">
        <f>'Dados Geral'!AO4</f>
        <v>1</v>
      </c>
      <c r="V3" s="16">
        <f>'Dados Geral'!AP4</f>
        <v>1</v>
      </c>
      <c r="W3" s="16">
        <f>'Dados Geral'!AQ4</f>
        <v>1</v>
      </c>
      <c r="X3" s="16">
        <f>'Dados Geral'!AR4</f>
        <v>1</v>
      </c>
      <c r="Y3" s="16">
        <f>'Dados Geral'!AS4</f>
        <v>1</v>
      </c>
      <c r="Z3" s="16">
        <f>'Dados Geral'!AT4</f>
        <v>0</v>
      </c>
      <c r="AA3" s="16">
        <f>'Dados Geral'!AU4</f>
        <v>1</v>
      </c>
      <c r="AB3" s="16">
        <f>'Dados Geral'!AV4</f>
        <v>1</v>
      </c>
      <c r="AC3" s="16">
        <f>'Dados Geral'!AW4</f>
        <v>0</v>
      </c>
      <c r="AD3" s="16">
        <f>'Dados Geral'!AX4</f>
        <v>1</v>
      </c>
      <c r="AE3" s="16">
        <f>'Dados Geral'!AY4</f>
        <v>1</v>
      </c>
      <c r="AF3" s="16">
        <f>'Dados Geral'!AZ4</f>
        <v>1</v>
      </c>
      <c r="AG3" s="16">
        <f>'Dados Geral'!BA4</f>
        <v>1</v>
      </c>
    </row>
    <row r="4" spans="1:33">
      <c r="A4" s="16" t="str">
        <f>'Dados Geral'!B5</f>
        <v>FAPEAP</v>
      </c>
      <c r="B4" s="16">
        <f>'Dados Geral'!V5</f>
        <v>0</v>
      </c>
      <c r="C4" s="16">
        <f>'Dados Geral'!W5</f>
        <v>0</v>
      </c>
      <c r="D4" s="16">
        <f>'Dados Geral'!X5</f>
        <v>0</v>
      </c>
      <c r="E4" s="16">
        <f>'Dados Geral'!Y5</f>
        <v>0</v>
      </c>
      <c r="F4" s="16">
        <f>'Dados Geral'!Z5</f>
        <v>0</v>
      </c>
      <c r="G4" s="16">
        <f>'Dados Geral'!AA5</f>
        <v>0</v>
      </c>
      <c r="H4" s="16">
        <f>'Dados Geral'!AB5</f>
        <v>0</v>
      </c>
      <c r="I4" s="16">
        <f>'Dados Geral'!AC5</f>
        <v>1</v>
      </c>
      <c r="J4" s="16">
        <f>'Dados Geral'!AD5</f>
        <v>1</v>
      </c>
      <c r="K4" s="16">
        <f>'Dados Geral'!AE5</f>
        <v>0</v>
      </c>
      <c r="L4" s="16">
        <f>'Dados Geral'!AF5</f>
        <v>1</v>
      </c>
      <c r="M4" s="16">
        <f>'Dados Geral'!AG5</f>
        <v>1</v>
      </c>
      <c r="N4" s="16">
        <f>'Dados Geral'!AH5</f>
        <v>1</v>
      </c>
      <c r="O4" s="16">
        <f>'Dados Geral'!AI5</f>
        <v>0</v>
      </c>
      <c r="P4" s="16">
        <f>'Dados Geral'!AJ5</f>
        <v>0</v>
      </c>
      <c r="Q4" s="16">
        <f>'Dados Geral'!AK5</f>
        <v>0</v>
      </c>
      <c r="R4" s="16">
        <f>'Dados Geral'!AL5</f>
        <v>0</v>
      </c>
      <c r="S4" s="16">
        <f>'Dados Geral'!AM5</f>
        <v>0</v>
      </c>
      <c r="T4" s="16">
        <f>'Dados Geral'!AN5</f>
        <v>0</v>
      </c>
      <c r="U4" s="16">
        <f>'Dados Geral'!AO5</f>
        <v>0</v>
      </c>
      <c r="V4" s="16">
        <f>'Dados Geral'!AP5</f>
        <v>0</v>
      </c>
      <c r="W4" s="16">
        <f>'Dados Geral'!AQ5</f>
        <v>0</v>
      </c>
      <c r="X4" s="16">
        <f>'Dados Geral'!AR5</f>
        <v>0</v>
      </c>
      <c r="Y4" s="16">
        <f>'Dados Geral'!AS5</f>
        <v>0</v>
      </c>
      <c r="Z4" s="16">
        <f>'Dados Geral'!AT5</f>
        <v>0</v>
      </c>
      <c r="AA4" s="16">
        <f>'Dados Geral'!AU5</f>
        <v>0</v>
      </c>
      <c r="AB4" s="16">
        <f>'Dados Geral'!AV5</f>
        <v>1</v>
      </c>
      <c r="AC4" s="16">
        <f>'Dados Geral'!AW5</f>
        <v>1</v>
      </c>
      <c r="AD4" s="16">
        <f>'Dados Geral'!AX5</f>
        <v>0</v>
      </c>
      <c r="AE4" s="16">
        <f>'Dados Geral'!AY5</f>
        <v>1</v>
      </c>
      <c r="AF4" s="16">
        <f>'Dados Geral'!AZ5</f>
        <v>1</v>
      </c>
      <c r="AG4" s="16">
        <f>'Dados Geral'!BA5</f>
        <v>1</v>
      </c>
    </row>
    <row r="5" spans="1:33">
      <c r="A5" s="16" t="str">
        <f>'Dados Geral'!B6</f>
        <v>FAPEAM</v>
      </c>
      <c r="B5" s="16">
        <f>'Dados Geral'!V6</f>
        <v>0</v>
      </c>
      <c r="C5" s="16">
        <f>'Dados Geral'!W6</f>
        <v>0</v>
      </c>
      <c r="D5" s="16">
        <f>'Dados Geral'!X6</f>
        <v>0</v>
      </c>
      <c r="E5" s="16">
        <f>'Dados Geral'!Y6</f>
        <v>0</v>
      </c>
      <c r="F5" s="16">
        <f>'Dados Geral'!Z6</f>
        <v>0</v>
      </c>
      <c r="G5" s="16">
        <f>'Dados Geral'!AA6</f>
        <v>1</v>
      </c>
      <c r="H5" s="16">
        <f>'Dados Geral'!AB6</f>
        <v>0</v>
      </c>
      <c r="I5" s="16">
        <f>'Dados Geral'!AC6</f>
        <v>0</v>
      </c>
      <c r="J5" s="16">
        <f>'Dados Geral'!AD6</f>
        <v>0</v>
      </c>
      <c r="K5" s="16">
        <f>'Dados Geral'!AE6</f>
        <v>0</v>
      </c>
      <c r="L5" s="16">
        <f>'Dados Geral'!AF6</f>
        <v>0</v>
      </c>
      <c r="M5" s="16">
        <f>'Dados Geral'!AG6</f>
        <v>0</v>
      </c>
      <c r="N5" s="16">
        <f>'Dados Geral'!AH6</f>
        <v>1</v>
      </c>
      <c r="O5" s="16">
        <f>'Dados Geral'!AI6</f>
        <v>0</v>
      </c>
      <c r="P5" s="16">
        <f>'Dados Geral'!AJ6</f>
        <v>0</v>
      </c>
      <c r="Q5" s="16">
        <f>'Dados Geral'!AK6</f>
        <v>0</v>
      </c>
      <c r="R5" s="16">
        <f>'Dados Geral'!AL6</f>
        <v>0</v>
      </c>
      <c r="S5" s="16">
        <f>'Dados Geral'!AM6</f>
        <v>0</v>
      </c>
      <c r="T5" s="16">
        <f>'Dados Geral'!AN6</f>
        <v>0</v>
      </c>
      <c r="U5" s="16">
        <f>'Dados Geral'!AO6</f>
        <v>0</v>
      </c>
      <c r="V5" s="16">
        <f>'Dados Geral'!AP6</f>
        <v>0</v>
      </c>
      <c r="W5" s="16">
        <f>'Dados Geral'!AQ6</f>
        <v>0</v>
      </c>
      <c r="X5" s="16">
        <f>'Dados Geral'!AR6</f>
        <v>0</v>
      </c>
      <c r="Y5" s="16">
        <f>'Dados Geral'!AS6</f>
        <v>0</v>
      </c>
      <c r="Z5" s="16">
        <f>'Dados Geral'!AT6</f>
        <v>1</v>
      </c>
      <c r="AA5" s="16">
        <f>'Dados Geral'!AU6</f>
        <v>0</v>
      </c>
      <c r="AB5" s="16">
        <f>'Dados Geral'!AV6</f>
        <v>0</v>
      </c>
      <c r="AC5" s="16">
        <f>'Dados Geral'!AW6</f>
        <v>0</v>
      </c>
      <c r="AD5" s="16">
        <f>'Dados Geral'!AX6</f>
        <v>0</v>
      </c>
      <c r="AE5" s="16">
        <f>'Dados Geral'!AY6</f>
        <v>0</v>
      </c>
      <c r="AF5" s="16">
        <f>'Dados Geral'!AZ6</f>
        <v>0</v>
      </c>
      <c r="AG5" s="16">
        <f>'Dados Geral'!BA6</f>
        <v>1</v>
      </c>
    </row>
    <row r="6" spans="1:33">
      <c r="A6" s="16" t="str">
        <f>'Dados Geral'!B7</f>
        <v>FAPESB</v>
      </c>
      <c r="B6" s="16">
        <f>'Dados Geral'!V7</f>
        <v>1</v>
      </c>
      <c r="C6" s="16">
        <f>'Dados Geral'!W7</f>
        <v>1</v>
      </c>
      <c r="D6" s="16">
        <f>'Dados Geral'!X7</f>
        <v>1</v>
      </c>
      <c r="E6" s="16">
        <f>'Dados Geral'!Y7</f>
        <v>1</v>
      </c>
      <c r="F6" s="16">
        <f>'Dados Geral'!Z7</f>
        <v>1</v>
      </c>
      <c r="G6" s="16">
        <f>'Dados Geral'!AA7</f>
        <v>0</v>
      </c>
      <c r="H6" s="16">
        <f>'Dados Geral'!AB7</f>
        <v>1</v>
      </c>
      <c r="I6" s="16">
        <f>'Dados Geral'!AC7</f>
        <v>0</v>
      </c>
      <c r="J6" s="16">
        <f>'Dados Geral'!AD7</f>
        <v>0</v>
      </c>
      <c r="K6" s="16">
        <f>'Dados Geral'!AE7</f>
        <v>1</v>
      </c>
      <c r="L6" s="16">
        <f>'Dados Geral'!AF7</f>
        <v>0</v>
      </c>
      <c r="M6" s="16">
        <f>'Dados Geral'!AG7</f>
        <v>0</v>
      </c>
      <c r="N6" s="16">
        <f>'Dados Geral'!AH7</f>
        <v>0</v>
      </c>
      <c r="O6" s="16">
        <f>'Dados Geral'!AI7</f>
        <v>0</v>
      </c>
      <c r="P6" s="16">
        <f>'Dados Geral'!AJ7</f>
        <v>1</v>
      </c>
      <c r="Q6" s="16">
        <f>'Dados Geral'!AK7</f>
        <v>1</v>
      </c>
      <c r="R6" s="16">
        <f>'Dados Geral'!AL7</f>
        <v>1</v>
      </c>
      <c r="S6" s="16">
        <f>'Dados Geral'!AM7</f>
        <v>0</v>
      </c>
      <c r="T6" s="16">
        <f>'Dados Geral'!AN7</f>
        <v>1</v>
      </c>
      <c r="U6" s="16">
        <f>'Dados Geral'!AO7</f>
        <v>1</v>
      </c>
      <c r="V6" s="16">
        <f>'Dados Geral'!AP7</f>
        <v>1</v>
      </c>
      <c r="W6" s="16">
        <f>'Dados Geral'!AQ7</f>
        <v>1</v>
      </c>
      <c r="X6" s="16">
        <f>'Dados Geral'!AR7</f>
        <v>1</v>
      </c>
      <c r="Y6" s="16">
        <f>'Dados Geral'!AS7</f>
        <v>1</v>
      </c>
      <c r="Z6" s="16">
        <f>'Dados Geral'!AT7</f>
        <v>0</v>
      </c>
      <c r="AA6" s="16">
        <f>'Dados Geral'!AU7</f>
        <v>1</v>
      </c>
      <c r="AB6" s="16">
        <f>'Dados Geral'!AV7</f>
        <v>0</v>
      </c>
      <c r="AC6" s="16">
        <f>'Dados Geral'!AW7</f>
        <v>0</v>
      </c>
      <c r="AD6" s="16">
        <f>'Dados Geral'!AX7</f>
        <v>1</v>
      </c>
      <c r="AE6" s="16">
        <f>'Dados Geral'!AY7</f>
        <v>0</v>
      </c>
      <c r="AF6" s="16">
        <f>'Dados Geral'!AZ7</f>
        <v>0</v>
      </c>
      <c r="AG6" s="16">
        <f>'Dados Geral'!BA7</f>
        <v>0</v>
      </c>
    </row>
    <row r="7" spans="1:33">
      <c r="A7" s="16" t="str">
        <f>'Dados Geral'!B8</f>
        <v>FUNCAP</v>
      </c>
      <c r="B7" s="16">
        <f>'Dados Geral'!V8</f>
        <v>1</v>
      </c>
      <c r="C7" s="16">
        <f>'Dados Geral'!W8</f>
        <v>1</v>
      </c>
      <c r="D7" s="16">
        <f>'Dados Geral'!X8</f>
        <v>1</v>
      </c>
      <c r="E7" s="16">
        <f>'Dados Geral'!Y8</f>
        <v>1</v>
      </c>
      <c r="F7" s="16">
        <f>'Dados Geral'!Z8</f>
        <v>1</v>
      </c>
      <c r="G7" s="16">
        <f>'Dados Geral'!AA8</f>
        <v>0</v>
      </c>
      <c r="H7" s="16">
        <f>'Dados Geral'!AB8</f>
        <v>0</v>
      </c>
      <c r="I7" s="16">
        <f>'Dados Geral'!AC8</f>
        <v>0</v>
      </c>
      <c r="J7" s="16">
        <f>'Dados Geral'!AD8</f>
        <v>1</v>
      </c>
      <c r="K7" s="16">
        <f>'Dados Geral'!AE8</f>
        <v>1</v>
      </c>
      <c r="L7" s="16">
        <f>'Dados Geral'!AF8</f>
        <v>0</v>
      </c>
      <c r="M7" s="16">
        <f>'Dados Geral'!AG8</f>
        <v>1</v>
      </c>
      <c r="N7" s="16">
        <f>'Dados Geral'!AH8</f>
        <v>1</v>
      </c>
      <c r="O7" s="16">
        <f>'Dados Geral'!AI8</f>
        <v>1</v>
      </c>
      <c r="P7" s="16">
        <f>'Dados Geral'!AJ8</f>
        <v>1</v>
      </c>
      <c r="Q7" s="16">
        <f>'Dados Geral'!AK8</f>
        <v>1</v>
      </c>
      <c r="R7" s="16">
        <f>'Dados Geral'!AL8</f>
        <v>1</v>
      </c>
      <c r="S7" s="16">
        <f>'Dados Geral'!AM8</f>
        <v>1</v>
      </c>
      <c r="T7" s="16">
        <f>'Dados Geral'!AN8</f>
        <v>1</v>
      </c>
      <c r="U7" s="16">
        <f>'Dados Geral'!AO8</f>
        <v>1</v>
      </c>
      <c r="V7" s="16">
        <f>'Dados Geral'!AP8</f>
        <v>1</v>
      </c>
      <c r="W7" s="16">
        <f>'Dados Geral'!AQ8</f>
        <v>1</v>
      </c>
      <c r="X7" s="16">
        <f>'Dados Geral'!AR8</f>
        <v>1</v>
      </c>
      <c r="Y7" s="16">
        <f>'Dados Geral'!AS8</f>
        <v>1</v>
      </c>
      <c r="Z7" s="16">
        <f>'Dados Geral'!AT8</f>
        <v>0</v>
      </c>
      <c r="AA7" s="16">
        <f>'Dados Geral'!AU8</f>
        <v>0</v>
      </c>
      <c r="AB7" s="16">
        <f>'Dados Geral'!AV8</f>
        <v>0</v>
      </c>
      <c r="AC7" s="16">
        <f>'Dados Geral'!AW8</f>
        <v>1</v>
      </c>
      <c r="AD7" s="16">
        <f>'Dados Geral'!AX8</f>
        <v>1</v>
      </c>
      <c r="AE7" s="16">
        <f>'Dados Geral'!AY8</f>
        <v>0</v>
      </c>
      <c r="AF7" s="16">
        <f>'Dados Geral'!AZ8</f>
        <v>1</v>
      </c>
      <c r="AG7" s="16">
        <f>'Dados Geral'!BA8</f>
        <v>1</v>
      </c>
    </row>
    <row r="8" spans="1:33">
      <c r="A8" s="16" t="str">
        <f>'Dados Geral'!B9</f>
        <v>FAPDF</v>
      </c>
      <c r="B8" s="16">
        <f>'Dados Geral'!V9</f>
        <v>1</v>
      </c>
      <c r="C8" s="16">
        <f>'Dados Geral'!W9</f>
        <v>1</v>
      </c>
      <c r="D8" s="16">
        <f>'Dados Geral'!X9</f>
        <v>1</v>
      </c>
      <c r="E8" s="16">
        <f>'Dados Geral'!Y9</f>
        <v>1</v>
      </c>
      <c r="F8" s="16">
        <f>'Dados Geral'!Z9</f>
        <v>1</v>
      </c>
      <c r="G8" s="16">
        <f>'Dados Geral'!AA9</f>
        <v>0</v>
      </c>
      <c r="H8" s="16">
        <f>'Dados Geral'!AB9</f>
        <v>1</v>
      </c>
      <c r="I8" s="16">
        <f>'Dados Geral'!AC9</f>
        <v>0</v>
      </c>
      <c r="J8" s="16">
        <f>'Dados Geral'!AD9</f>
        <v>0</v>
      </c>
      <c r="K8" s="16">
        <f>'Dados Geral'!AE9</f>
        <v>1</v>
      </c>
      <c r="L8" s="16">
        <f>'Dados Geral'!AF9</f>
        <v>0</v>
      </c>
      <c r="M8" s="16">
        <f>'Dados Geral'!AG9</f>
        <v>0</v>
      </c>
      <c r="N8" s="16">
        <f>'Dados Geral'!AH9</f>
        <v>1</v>
      </c>
      <c r="O8" s="16">
        <f>'Dados Geral'!AI9</f>
        <v>1</v>
      </c>
      <c r="P8" s="16">
        <f>'Dados Geral'!AJ9</f>
        <v>0</v>
      </c>
      <c r="Q8" s="16">
        <f>'Dados Geral'!AK9</f>
        <v>1</v>
      </c>
      <c r="R8" s="16">
        <f>'Dados Geral'!AL9</f>
        <v>1</v>
      </c>
      <c r="S8" s="16">
        <f>'Dados Geral'!AM9</f>
        <v>1</v>
      </c>
      <c r="T8" s="16">
        <f>'Dados Geral'!AN9</f>
        <v>1</v>
      </c>
      <c r="U8" s="16">
        <f>'Dados Geral'!AO9</f>
        <v>1</v>
      </c>
      <c r="V8" s="16">
        <f>'Dados Geral'!AP9</f>
        <v>1</v>
      </c>
      <c r="W8" s="16">
        <f>'Dados Geral'!AQ9</f>
        <v>1</v>
      </c>
      <c r="X8" s="16">
        <f>'Dados Geral'!AR9</f>
        <v>1</v>
      </c>
      <c r="Y8" s="16">
        <f>'Dados Geral'!AS9</f>
        <v>1</v>
      </c>
      <c r="Z8" s="16">
        <f>'Dados Geral'!AT9</f>
        <v>0</v>
      </c>
      <c r="AA8" s="16">
        <f>'Dados Geral'!AU9</f>
        <v>1</v>
      </c>
      <c r="AB8" s="16">
        <f>'Dados Geral'!AV9</f>
        <v>0</v>
      </c>
      <c r="AC8" s="16">
        <f>'Dados Geral'!AW9</f>
        <v>0</v>
      </c>
      <c r="AD8" s="16">
        <f>'Dados Geral'!AX9</f>
        <v>1</v>
      </c>
      <c r="AE8" s="16">
        <f>'Dados Geral'!AY9</f>
        <v>0</v>
      </c>
      <c r="AF8" s="16">
        <f>'Dados Geral'!AZ9</f>
        <v>0</v>
      </c>
      <c r="AG8" s="16">
        <f>'Dados Geral'!BA9</f>
        <v>1</v>
      </c>
    </row>
    <row r="9" spans="1:33">
      <c r="A9" s="16" t="str">
        <f>'Dados Geral'!B10</f>
        <v>FAPES</v>
      </c>
      <c r="B9" s="16">
        <f>'Dados Geral'!V10</f>
        <v>1</v>
      </c>
      <c r="C9" s="16">
        <f>'Dados Geral'!W10</f>
        <v>1</v>
      </c>
      <c r="D9" s="16">
        <f>'Dados Geral'!X10</f>
        <v>1</v>
      </c>
      <c r="E9" s="16">
        <f>'Dados Geral'!Y10</f>
        <v>1</v>
      </c>
      <c r="F9" s="16">
        <f>'Dados Geral'!Z10</f>
        <v>1</v>
      </c>
      <c r="G9" s="16">
        <f>'Dados Geral'!AA10</f>
        <v>1</v>
      </c>
      <c r="H9" s="16">
        <f>'Dados Geral'!AB10</f>
        <v>1</v>
      </c>
      <c r="I9" s="16">
        <f>'Dados Geral'!AC10</f>
        <v>1</v>
      </c>
      <c r="J9" s="16">
        <f>'Dados Geral'!AD10</f>
        <v>1</v>
      </c>
      <c r="K9" s="16">
        <f>'Dados Geral'!AE10</f>
        <v>1</v>
      </c>
      <c r="L9" s="16">
        <f>'Dados Geral'!AF10</f>
        <v>0</v>
      </c>
      <c r="M9" s="16">
        <f>'Dados Geral'!AG10</f>
        <v>1</v>
      </c>
      <c r="N9" s="16">
        <f>'Dados Geral'!AH10</f>
        <v>0</v>
      </c>
      <c r="O9" s="16">
        <f>'Dados Geral'!AI10</f>
        <v>0</v>
      </c>
      <c r="P9" s="16">
        <f>'Dados Geral'!AJ10</f>
        <v>1</v>
      </c>
      <c r="Q9" s="16">
        <f>'Dados Geral'!AK10</f>
        <v>1</v>
      </c>
      <c r="R9" s="16">
        <f>'Dados Geral'!AL10</f>
        <v>0</v>
      </c>
      <c r="S9" s="16">
        <f>'Dados Geral'!AM10</f>
        <v>0</v>
      </c>
      <c r="T9" s="16">
        <f>'Dados Geral'!AN10</f>
        <v>1</v>
      </c>
      <c r="U9" s="16">
        <f>'Dados Geral'!AO10</f>
        <v>1</v>
      </c>
      <c r="V9" s="16">
        <f>'Dados Geral'!AP10</f>
        <v>1</v>
      </c>
      <c r="W9" s="16">
        <f>'Dados Geral'!AQ10</f>
        <v>1</v>
      </c>
      <c r="X9" s="16">
        <f>'Dados Geral'!AR10</f>
        <v>1</v>
      </c>
      <c r="Y9" s="16">
        <f>'Dados Geral'!AS10</f>
        <v>1</v>
      </c>
      <c r="Z9" s="16">
        <f>'Dados Geral'!AT10</f>
        <v>1</v>
      </c>
      <c r="AA9" s="16">
        <f>'Dados Geral'!AU10</f>
        <v>1</v>
      </c>
      <c r="AB9" s="16">
        <f>'Dados Geral'!AV10</f>
        <v>1</v>
      </c>
      <c r="AC9" s="16">
        <f>'Dados Geral'!AW10</f>
        <v>1</v>
      </c>
      <c r="AD9" s="16">
        <f>'Dados Geral'!AX10</f>
        <v>1</v>
      </c>
      <c r="AE9" s="16">
        <f>'Dados Geral'!AY10</f>
        <v>0</v>
      </c>
      <c r="AF9" s="16">
        <f>'Dados Geral'!AZ10</f>
        <v>1</v>
      </c>
      <c r="AG9" s="16">
        <f>'Dados Geral'!BA10</f>
        <v>0</v>
      </c>
    </row>
    <row r="10" spans="1:33">
      <c r="A10" s="16" t="str">
        <f>'Dados Geral'!B11</f>
        <v>FAPEG</v>
      </c>
      <c r="B10" s="16">
        <f>'Dados Geral'!V11</f>
        <v>1</v>
      </c>
      <c r="C10" s="16">
        <f>'Dados Geral'!W11</f>
        <v>0</v>
      </c>
      <c r="D10" s="16">
        <f>'Dados Geral'!X11</f>
        <v>0</v>
      </c>
      <c r="E10" s="16">
        <f>'Dados Geral'!Y11</f>
        <v>1</v>
      </c>
      <c r="F10" s="16">
        <f>'Dados Geral'!Z11</f>
        <v>0</v>
      </c>
      <c r="G10" s="16">
        <f>'Dados Geral'!AA11</f>
        <v>0</v>
      </c>
      <c r="H10" s="16">
        <f>'Dados Geral'!AB11</f>
        <v>0</v>
      </c>
      <c r="I10" s="16">
        <f>'Dados Geral'!AC11</f>
        <v>1</v>
      </c>
      <c r="J10" s="16">
        <f>'Dados Geral'!AD11</f>
        <v>1</v>
      </c>
      <c r="K10" s="16">
        <f>'Dados Geral'!AE11</f>
        <v>1</v>
      </c>
      <c r="L10" s="16">
        <f>'Dados Geral'!AF11</f>
        <v>0</v>
      </c>
      <c r="M10" s="16">
        <f>'Dados Geral'!AG11</f>
        <v>1</v>
      </c>
      <c r="N10" s="16">
        <f>'Dados Geral'!AH11</f>
        <v>0</v>
      </c>
      <c r="O10" s="16">
        <f>'Dados Geral'!AI11</f>
        <v>1</v>
      </c>
      <c r="P10" s="16">
        <f>'Dados Geral'!AJ11</f>
        <v>0</v>
      </c>
      <c r="Q10" s="16">
        <f>'Dados Geral'!AK11</f>
        <v>1</v>
      </c>
      <c r="R10" s="16">
        <f>'Dados Geral'!AL11</f>
        <v>0</v>
      </c>
      <c r="S10" s="16">
        <f>'Dados Geral'!AM11</f>
        <v>0</v>
      </c>
      <c r="T10" s="16">
        <f>'Dados Geral'!AN11</f>
        <v>1</v>
      </c>
      <c r="U10" s="16">
        <f>'Dados Geral'!AO11</f>
        <v>1</v>
      </c>
      <c r="V10" s="16">
        <f>'Dados Geral'!AP11</f>
        <v>1</v>
      </c>
      <c r="W10" s="16">
        <f>'Dados Geral'!AQ11</f>
        <v>1</v>
      </c>
      <c r="X10" s="16">
        <f>'Dados Geral'!AR11</f>
        <v>1</v>
      </c>
      <c r="Y10" s="16">
        <f>'Dados Geral'!AS11</f>
        <v>1</v>
      </c>
      <c r="Z10" s="16">
        <f>'Dados Geral'!AT11</f>
        <v>1</v>
      </c>
      <c r="AA10" s="16">
        <f>'Dados Geral'!AU11</f>
        <v>0</v>
      </c>
      <c r="AB10" s="16">
        <f>'Dados Geral'!AV11</f>
        <v>1</v>
      </c>
      <c r="AC10" s="16">
        <f>'Dados Geral'!AW11</f>
        <v>1</v>
      </c>
      <c r="AD10" s="16">
        <f>'Dados Geral'!AX11</f>
        <v>1</v>
      </c>
      <c r="AE10" s="16">
        <f>'Dados Geral'!AY11</f>
        <v>0</v>
      </c>
      <c r="AF10" s="16">
        <f>'Dados Geral'!AZ11</f>
        <v>1</v>
      </c>
      <c r="AG10" s="16">
        <f>'Dados Geral'!BA11</f>
        <v>0</v>
      </c>
    </row>
    <row r="11" spans="1:33">
      <c r="A11" s="16" t="str">
        <f>'Dados Geral'!B12</f>
        <v>FAPEMA</v>
      </c>
      <c r="B11" s="16">
        <f>'Dados Geral'!V12</f>
        <v>1</v>
      </c>
      <c r="C11" s="16">
        <f>'Dados Geral'!W12</f>
        <v>1</v>
      </c>
      <c r="D11" s="16">
        <f>'Dados Geral'!X12</f>
        <v>1</v>
      </c>
      <c r="E11" s="16">
        <f>'Dados Geral'!Y12</f>
        <v>1</v>
      </c>
      <c r="F11" s="16">
        <f>'Dados Geral'!Z12</f>
        <v>1</v>
      </c>
      <c r="G11" s="16">
        <f>'Dados Geral'!AA12</f>
        <v>1</v>
      </c>
      <c r="H11" s="16">
        <f>'Dados Geral'!AB12</f>
        <v>0</v>
      </c>
      <c r="I11" s="16">
        <f>'Dados Geral'!AC12</f>
        <v>0</v>
      </c>
      <c r="J11" s="16">
        <f>'Dados Geral'!AD12</f>
        <v>1</v>
      </c>
      <c r="K11" s="16">
        <f>'Dados Geral'!AE12</f>
        <v>1</v>
      </c>
      <c r="L11" s="16">
        <f>'Dados Geral'!AF12</f>
        <v>1</v>
      </c>
      <c r="M11" s="16">
        <f>'Dados Geral'!AG12</f>
        <v>0</v>
      </c>
      <c r="N11" s="16">
        <f>'Dados Geral'!AH12</f>
        <v>1</v>
      </c>
      <c r="O11" s="16">
        <f>'Dados Geral'!AI12</f>
        <v>0</v>
      </c>
      <c r="P11" s="16">
        <f>'Dados Geral'!AJ12</f>
        <v>1</v>
      </c>
      <c r="Q11" s="16">
        <f>'Dados Geral'!AK12</f>
        <v>1</v>
      </c>
      <c r="R11" s="16">
        <f>'Dados Geral'!AL12</f>
        <v>1</v>
      </c>
      <c r="S11" s="16">
        <f>'Dados Geral'!AM12</f>
        <v>1</v>
      </c>
      <c r="T11" s="16">
        <f>'Dados Geral'!AN12</f>
        <v>1</v>
      </c>
      <c r="U11" s="16">
        <f>'Dados Geral'!AO12</f>
        <v>1</v>
      </c>
      <c r="V11" s="16">
        <f>'Dados Geral'!AP12</f>
        <v>1</v>
      </c>
      <c r="W11" s="16">
        <f>'Dados Geral'!AQ12</f>
        <v>1</v>
      </c>
      <c r="X11" s="16">
        <f>'Dados Geral'!AR12</f>
        <v>1</v>
      </c>
      <c r="Y11" s="16">
        <f>'Dados Geral'!AS12</f>
        <v>1</v>
      </c>
      <c r="Z11" s="16">
        <f>'Dados Geral'!AT12</f>
        <v>1</v>
      </c>
      <c r="AA11" s="16">
        <f>'Dados Geral'!AU12</f>
        <v>0</v>
      </c>
      <c r="AB11" s="16">
        <f>'Dados Geral'!AV12</f>
        <v>0</v>
      </c>
      <c r="AC11" s="16">
        <f>'Dados Geral'!AW12</f>
        <v>1</v>
      </c>
      <c r="AD11" s="16">
        <f>'Dados Geral'!AX12</f>
        <v>1</v>
      </c>
      <c r="AE11" s="16">
        <f>'Dados Geral'!AY12</f>
        <v>1</v>
      </c>
      <c r="AF11" s="16">
        <f>'Dados Geral'!AZ12</f>
        <v>0</v>
      </c>
      <c r="AG11" s="16">
        <f>'Dados Geral'!BA12</f>
        <v>1</v>
      </c>
    </row>
    <row r="12" spans="1:33">
      <c r="A12" s="16" t="str">
        <f>'Dados Geral'!B13</f>
        <v>FAPEMAT</v>
      </c>
      <c r="B12" s="16">
        <f>'Dados Geral'!V13</f>
        <v>1</v>
      </c>
      <c r="C12" s="16">
        <f>'Dados Geral'!W13</f>
        <v>1</v>
      </c>
      <c r="D12" s="16">
        <f>'Dados Geral'!X13</f>
        <v>0</v>
      </c>
      <c r="E12" s="16">
        <f>'Dados Geral'!Y13</f>
        <v>0</v>
      </c>
      <c r="F12" s="16">
        <f>'Dados Geral'!Z13</f>
        <v>1</v>
      </c>
      <c r="G12" s="16">
        <f>'Dados Geral'!AA13</f>
        <v>1</v>
      </c>
      <c r="H12" s="16">
        <f>'Dados Geral'!AB13</f>
        <v>0</v>
      </c>
      <c r="I12" s="16">
        <f>'Dados Geral'!AC13</f>
        <v>0</v>
      </c>
      <c r="J12" s="16">
        <f>'Dados Geral'!AD13</f>
        <v>1</v>
      </c>
      <c r="K12" s="16">
        <f>'Dados Geral'!AE13</f>
        <v>1</v>
      </c>
      <c r="L12" s="16">
        <f>'Dados Geral'!AF13</f>
        <v>0</v>
      </c>
      <c r="M12" s="16">
        <f>'Dados Geral'!AG13</f>
        <v>0</v>
      </c>
      <c r="N12" s="16">
        <f>'Dados Geral'!AH13</f>
        <v>1</v>
      </c>
      <c r="O12" s="16">
        <f>'Dados Geral'!AI13</f>
        <v>1</v>
      </c>
      <c r="P12" s="16">
        <f>'Dados Geral'!AJ13</f>
        <v>0</v>
      </c>
      <c r="Q12" s="16">
        <f>'Dados Geral'!AK13</f>
        <v>1</v>
      </c>
      <c r="R12" s="16">
        <f>'Dados Geral'!AL13</f>
        <v>1</v>
      </c>
      <c r="S12" s="16">
        <f>'Dados Geral'!AM13</f>
        <v>1</v>
      </c>
      <c r="T12" s="16">
        <f>'Dados Geral'!AN13</f>
        <v>1</v>
      </c>
      <c r="U12" s="16">
        <f>'Dados Geral'!AO13</f>
        <v>0</v>
      </c>
      <c r="V12" s="16">
        <f>'Dados Geral'!AP13</f>
        <v>0</v>
      </c>
      <c r="W12" s="16">
        <f>'Dados Geral'!AQ13</f>
        <v>1</v>
      </c>
      <c r="X12" s="16">
        <f>'Dados Geral'!AR13</f>
        <v>1</v>
      </c>
      <c r="Y12" s="16">
        <f>'Dados Geral'!AS13</f>
        <v>1</v>
      </c>
      <c r="Z12" s="16">
        <f>'Dados Geral'!AT13</f>
        <v>1</v>
      </c>
      <c r="AA12" s="16">
        <f>'Dados Geral'!AU13</f>
        <v>0</v>
      </c>
      <c r="AB12" s="16">
        <f>'Dados Geral'!AV13</f>
        <v>0</v>
      </c>
      <c r="AC12" s="16">
        <f>'Dados Geral'!AW13</f>
        <v>1</v>
      </c>
      <c r="AD12" s="16">
        <f>'Dados Geral'!AX13</f>
        <v>1</v>
      </c>
      <c r="AE12" s="16">
        <f>'Dados Geral'!AY13</f>
        <v>0</v>
      </c>
      <c r="AF12" s="16">
        <f>'Dados Geral'!AZ13</f>
        <v>1</v>
      </c>
      <c r="AG12" s="16">
        <f>'Dados Geral'!BA13</f>
        <v>1</v>
      </c>
    </row>
    <row r="13" spans="1:33">
      <c r="A13" s="16" t="str">
        <f>'Dados Geral'!B14</f>
        <v>FUNDECT</v>
      </c>
      <c r="B13" s="16">
        <f>'Dados Geral'!V14</f>
        <v>1</v>
      </c>
      <c r="C13" s="16">
        <f>'Dados Geral'!W14</f>
        <v>1</v>
      </c>
      <c r="D13" s="16">
        <f>'Dados Geral'!X14</f>
        <v>1</v>
      </c>
      <c r="E13" s="16">
        <f>'Dados Geral'!Y14</f>
        <v>1</v>
      </c>
      <c r="F13" s="16">
        <f>'Dados Geral'!Z14</f>
        <v>1</v>
      </c>
      <c r="G13" s="16">
        <f>'Dados Geral'!AA14</f>
        <v>1</v>
      </c>
      <c r="H13" s="16">
        <f>'Dados Geral'!AB14</f>
        <v>0</v>
      </c>
      <c r="I13" s="16">
        <f>'Dados Geral'!AC14</f>
        <v>0</v>
      </c>
      <c r="J13" s="16">
        <f>'Dados Geral'!AD14</f>
        <v>1</v>
      </c>
      <c r="K13" s="16">
        <f>'Dados Geral'!AE14</f>
        <v>1</v>
      </c>
      <c r="L13" s="16">
        <f>'Dados Geral'!AF14</f>
        <v>1</v>
      </c>
      <c r="M13" s="16">
        <f>'Dados Geral'!AG14</f>
        <v>1</v>
      </c>
      <c r="N13" s="16">
        <f>'Dados Geral'!AH14</f>
        <v>0</v>
      </c>
      <c r="O13" s="16">
        <f>'Dados Geral'!AI14</f>
        <v>0</v>
      </c>
      <c r="P13" s="16">
        <f>'Dados Geral'!AJ14</f>
        <v>1</v>
      </c>
      <c r="Q13" s="16">
        <f>'Dados Geral'!AK14</f>
        <v>1</v>
      </c>
      <c r="R13" s="16">
        <f>'Dados Geral'!AL14</f>
        <v>0</v>
      </c>
      <c r="S13" s="16">
        <f>'Dados Geral'!AM14</f>
        <v>1</v>
      </c>
      <c r="T13" s="16">
        <f>'Dados Geral'!AN14</f>
        <v>1</v>
      </c>
      <c r="U13" s="16">
        <f>'Dados Geral'!AO14</f>
        <v>1</v>
      </c>
      <c r="V13" s="16">
        <f>'Dados Geral'!AP14</f>
        <v>1</v>
      </c>
      <c r="W13" s="16">
        <f>'Dados Geral'!AQ14</f>
        <v>1</v>
      </c>
      <c r="X13" s="16">
        <f>'Dados Geral'!AR14</f>
        <v>1</v>
      </c>
      <c r="Y13" s="16">
        <f>'Dados Geral'!AS14</f>
        <v>1</v>
      </c>
      <c r="Z13" s="16">
        <f>'Dados Geral'!AT14</f>
        <v>1</v>
      </c>
      <c r="AA13" s="16">
        <f>'Dados Geral'!AU14</f>
        <v>0</v>
      </c>
      <c r="AB13" s="16">
        <f>'Dados Geral'!AV14</f>
        <v>0</v>
      </c>
      <c r="AC13" s="16">
        <f>'Dados Geral'!AW14</f>
        <v>0</v>
      </c>
      <c r="AD13" s="16">
        <f>'Dados Geral'!AX14</f>
        <v>1</v>
      </c>
      <c r="AE13" s="16">
        <f>'Dados Geral'!AY14</f>
        <v>1</v>
      </c>
      <c r="AF13" s="16">
        <f>'Dados Geral'!AZ14</f>
        <v>1</v>
      </c>
      <c r="AG13" s="16">
        <f>'Dados Geral'!BA14</f>
        <v>0</v>
      </c>
    </row>
    <row r="14" spans="1:33">
      <c r="A14" s="16" t="str">
        <f>'Dados Geral'!B15</f>
        <v>FAPEMIG</v>
      </c>
      <c r="B14" s="16">
        <f>'Dados Geral'!V15</f>
        <v>1</v>
      </c>
      <c r="C14" s="16">
        <f>'Dados Geral'!W15</f>
        <v>1</v>
      </c>
      <c r="D14" s="16">
        <f>'Dados Geral'!X15</f>
        <v>1</v>
      </c>
      <c r="E14" s="16">
        <f>'Dados Geral'!Y15</f>
        <v>1</v>
      </c>
      <c r="F14" s="16">
        <f>'Dados Geral'!Z15</f>
        <v>1</v>
      </c>
      <c r="G14" s="16">
        <f>'Dados Geral'!AA15</f>
        <v>1</v>
      </c>
      <c r="H14" s="16">
        <f>'Dados Geral'!AB15</f>
        <v>1</v>
      </c>
      <c r="I14" s="16">
        <f>'Dados Geral'!AC15</f>
        <v>1</v>
      </c>
      <c r="J14" s="16">
        <f>'Dados Geral'!AD15</f>
        <v>0</v>
      </c>
      <c r="K14" s="16">
        <f>'Dados Geral'!AE15</f>
        <v>1</v>
      </c>
      <c r="L14" s="16">
        <f>'Dados Geral'!AF15</f>
        <v>1</v>
      </c>
      <c r="M14" s="16">
        <f>'Dados Geral'!AG15</f>
        <v>1</v>
      </c>
      <c r="N14" s="16">
        <f>'Dados Geral'!AH15</f>
        <v>1</v>
      </c>
      <c r="O14" s="16">
        <f>'Dados Geral'!AI15</f>
        <v>0</v>
      </c>
      <c r="P14" s="16">
        <f>'Dados Geral'!AJ15</f>
        <v>1</v>
      </c>
      <c r="Q14" s="16">
        <f>'Dados Geral'!AK15</f>
        <v>1</v>
      </c>
      <c r="R14" s="16">
        <f>'Dados Geral'!AL15</f>
        <v>1</v>
      </c>
      <c r="S14" s="16">
        <f>'Dados Geral'!AM15</f>
        <v>0</v>
      </c>
      <c r="T14" s="16">
        <f>'Dados Geral'!AN15</f>
        <v>1</v>
      </c>
      <c r="U14" s="16">
        <f>'Dados Geral'!AO15</f>
        <v>1</v>
      </c>
      <c r="V14" s="16">
        <f>'Dados Geral'!AP15</f>
        <v>1</v>
      </c>
      <c r="W14" s="16">
        <f>'Dados Geral'!AQ15</f>
        <v>1</v>
      </c>
      <c r="X14" s="16">
        <f>'Dados Geral'!AR15</f>
        <v>1</v>
      </c>
      <c r="Y14" s="16">
        <f>'Dados Geral'!AS15</f>
        <v>1</v>
      </c>
      <c r="Z14" s="16">
        <f>'Dados Geral'!AT15</f>
        <v>1</v>
      </c>
      <c r="AA14" s="16">
        <f>'Dados Geral'!AU15</f>
        <v>1</v>
      </c>
      <c r="AB14" s="16">
        <f>'Dados Geral'!AV15</f>
        <v>1</v>
      </c>
      <c r="AC14" s="16">
        <f>'Dados Geral'!AW15</f>
        <v>0</v>
      </c>
      <c r="AD14" s="16">
        <f>'Dados Geral'!AX15</f>
        <v>1</v>
      </c>
      <c r="AE14" s="16">
        <f>'Dados Geral'!AY15</f>
        <v>1</v>
      </c>
      <c r="AF14" s="16">
        <f>'Dados Geral'!AZ15</f>
        <v>1</v>
      </c>
      <c r="AG14" s="16">
        <f>'Dados Geral'!BA15</f>
        <v>1</v>
      </c>
    </row>
    <row r="15" spans="1:33">
      <c r="A15" s="16" t="str">
        <f>'Dados Geral'!B16</f>
        <v>FAPESPA</v>
      </c>
      <c r="B15" s="16">
        <f>'Dados Geral'!V16</f>
        <v>1</v>
      </c>
      <c r="C15" s="16">
        <f>'Dados Geral'!W16</f>
        <v>1</v>
      </c>
      <c r="D15" s="16">
        <f>'Dados Geral'!X16</f>
        <v>1</v>
      </c>
      <c r="E15" s="16">
        <f>'Dados Geral'!Y16</f>
        <v>1</v>
      </c>
      <c r="F15" s="16">
        <f>'Dados Geral'!Z16</f>
        <v>1</v>
      </c>
      <c r="G15" s="16">
        <f>'Dados Geral'!AA16</f>
        <v>0</v>
      </c>
      <c r="H15" s="16">
        <f>'Dados Geral'!AB16</f>
        <v>1</v>
      </c>
      <c r="I15" s="16">
        <f>'Dados Geral'!AC16</f>
        <v>1</v>
      </c>
      <c r="J15" s="16">
        <f>'Dados Geral'!AD16</f>
        <v>0</v>
      </c>
      <c r="K15" s="16">
        <f>'Dados Geral'!AE16</f>
        <v>1</v>
      </c>
      <c r="L15" s="16">
        <f>'Dados Geral'!AF16</f>
        <v>1</v>
      </c>
      <c r="M15" s="16">
        <f>'Dados Geral'!AG16</f>
        <v>1</v>
      </c>
      <c r="N15" s="16">
        <f>'Dados Geral'!AH16</f>
        <v>0</v>
      </c>
      <c r="O15" s="16">
        <f>'Dados Geral'!AI16</f>
        <v>0</v>
      </c>
      <c r="P15" s="16">
        <f>'Dados Geral'!AJ16</f>
        <v>0</v>
      </c>
      <c r="Q15" s="16">
        <f>'Dados Geral'!AK16</f>
        <v>1</v>
      </c>
      <c r="R15" s="16">
        <f>'Dados Geral'!AL16</f>
        <v>1</v>
      </c>
      <c r="S15" s="16">
        <f>'Dados Geral'!AM16</f>
        <v>1</v>
      </c>
      <c r="T15" s="16">
        <f>'Dados Geral'!AN16</f>
        <v>1</v>
      </c>
      <c r="U15" s="16">
        <f>'Dados Geral'!AO16</f>
        <v>1</v>
      </c>
      <c r="V15" s="16">
        <f>'Dados Geral'!AP16</f>
        <v>1</v>
      </c>
      <c r="W15" s="16">
        <f>'Dados Geral'!AQ16</f>
        <v>1</v>
      </c>
      <c r="X15" s="16">
        <f>'Dados Geral'!AR16</f>
        <v>1</v>
      </c>
      <c r="Y15" s="16">
        <f>'Dados Geral'!AS16</f>
        <v>1</v>
      </c>
      <c r="Z15" s="16">
        <f>'Dados Geral'!AT16</f>
        <v>0</v>
      </c>
      <c r="AA15" s="16">
        <f>'Dados Geral'!AU16</f>
        <v>1</v>
      </c>
      <c r="AB15" s="16">
        <f>'Dados Geral'!AV16</f>
        <v>1</v>
      </c>
      <c r="AC15" s="16">
        <f>'Dados Geral'!AW16</f>
        <v>0</v>
      </c>
      <c r="AD15" s="16">
        <f>'Dados Geral'!AX16</f>
        <v>1</v>
      </c>
      <c r="AE15" s="16">
        <f>'Dados Geral'!AY16</f>
        <v>1</v>
      </c>
      <c r="AF15" s="16">
        <f>'Dados Geral'!AZ16</f>
        <v>1</v>
      </c>
      <c r="AG15" s="16">
        <f>'Dados Geral'!BA16</f>
        <v>0</v>
      </c>
    </row>
    <row r="16" spans="1:33">
      <c r="A16" s="16" t="str">
        <f>'Dados Geral'!B17</f>
        <v>FAPESQ</v>
      </c>
      <c r="B16" s="16">
        <f>'Dados Geral'!V17</f>
        <v>1</v>
      </c>
      <c r="C16" s="16">
        <f>'Dados Geral'!W17</f>
        <v>1</v>
      </c>
      <c r="D16" s="16">
        <f>'Dados Geral'!X17</f>
        <v>1</v>
      </c>
      <c r="E16" s="16">
        <f>'Dados Geral'!Y17</f>
        <v>1</v>
      </c>
      <c r="F16" s="16">
        <f>'Dados Geral'!Z17</f>
        <v>1</v>
      </c>
      <c r="G16" s="16">
        <f>'Dados Geral'!AA17</f>
        <v>0</v>
      </c>
      <c r="H16" s="16">
        <f>'Dados Geral'!AB17</f>
        <v>0</v>
      </c>
      <c r="I16" s="16">
        <f>'Dados Geral'!AC17</f>
        <v>1</v>
      </c>
      <c r="J16" s="16">
        <f>'Dados Geral'!AD17</f>
        <v>0</v>
      </c>
      <c r="K16" s="16">
        <f>'Dados Geral'!AE17</f>
        <v>1</v>
      </c>
      <c r="L16" s="16">
        <f>'Dados Geral'!AF17</f>
        <v>0</v>
      </c>
      <c r="M16" s="16">
        <f>'Dados Geral'!AG17</f>
        <v>0</v>
      </c>
      <c r="N16" s="16">
        <f>'Dados Geral'!AH17</f>
        <v>1</v>
      </c>
      <c r="O16" s="16">
        <f>'Dados Geral'!AI17</f>
        <v>0</v>
      </c>
      <c r="P16" s="16">
        <f>'Dados Geral'!AJ17</f>
        <v>0</v>
      </c>
      <c r="Q16" s="16">
        <f>'Dados Geral'!AK17</f>
        <v>1</v>
      </c>
      <c r="R16" s="16">
        <f>'Dados Geral'!AL17</f>
        <v>1</v>
      </c>
      <c r="S16" s="16">
        <f>'Dados Geral'!AM17</f>
        <v>0</v>
      </c>
      <c r="T16" s="16">
        <f>'Dados Geral'!AN17</f>
        <v>1</v>
      </c>
      <c r="U16" s="16">
        <f>'Dados Geral'!AO17</f>
        <v>1</v>
      </c>
      <c r="V16" s="16">
        <f>'Dados Geral'!AP17</f>
        <v>1</v>
      </c>
      <c r="W16" s="16">
        <f>'Dados Geral'!AQ17</f>
        <v>1</v>
      </c>
      <c r="X16" s="16">
        <f>'Dados Geral'!AR17</f>
        <v>1</v>
      </c>
      <c r="Y16" s="16">
        <f>'Dados Geral'!AS17</f>
        <v>1</v>
      </c>
      <c r="Z16" s="16">
        <f>'Dados Geral'!AT17</f>
        <v>0</v>
      </c>
      <c r="AA16" s="16">
        <f>'Dados Geral'!AU17</f>
        <v>0</v>
      </c>
      <c r="AB16" s="16">
        <f>'Dados Geral'!AV17</f>
        <v>1</v>
      </c>
      <c r="AC16" s="16">
        <f>'Dados Geral'!AW17</f>
        <v>0</v>
      </c>
      <c r="AD16" s="16">
        <f>'Dados Geral'!AX17</f>
        <v>1</v>
      </c>
      <c r="AE16" s="16">
        <f>'Dados Geral'!AY17</f>
        <v>0</v>
      </c>
      <c r="AF16" s="16">
        <f>'Dados Geral'!AZ17</f>
        <v>0</v>
      </c>
      <c r="AG16" s="16">
        <f>'Dados Geral'!BA17</f>
        <v>1</v>
      </c>
    </row>
    <row r="17" spans="1:33">
      <c r="A17" s="16" t="str">
        <f>'Dados Geral'!B18</f>
        <v>FA</v>
      </c>
      <c r="B17" s="16">
        <f>'Dados Geral'!V18</f>
        <v>1</v>
      </c>
      <c r="C17" s="16">
        <f>'Dados Geral'!W18</f>
        <v>1</v>
      </c>
      <c r="D17" s="16">
        <f>'Dados Geral'!X18</f>
        <v>1</v>
      </c>
      <c r="E17" s="16">
        <f>'Dados Geral'!Y18</f>
        <v>1</v>
      </c>
      <c r="F17" s="16">
        <f>'Dados Geral'!Z18</f>
        <v>1</v>
      </c>
      <c r="G17" s="16">
        <f>'Dados Geral'!AA18</f>
        <v>0</v>
      </c>
      <c r="H17" s="16">
        <f>'Dados Geral'!AB18</f>
        <v>0</v>
      </c>
      <c r="I17" s="16">
        <f>'Dados Geral'!AC18</f>
        <v>0</v>
      </c>
      <c r="J17" s="16">
        <f>'Dados Geral'!AD18</f>
        <v>0</v>
      </c>
      <c r="K17" s="16">
        <f>'Dados Geral'!AE18</f>
        <v>1</v>
      </c>
      <c r="L17" s="16">
        <f>'Dados Geral'!AF18</f>
        <v>1</v>
      </c>
      <c r="M17" s="16">
        <f>'Dados Geral'!AG18</f>
        <v>1</v>
      </c>
      <c r="N17" s="16">
        <f>'Dados Geral'!AH18</f>
        <v>1</v>
      </c>
      <c r="O17" s="16">
        <f>'Dados Geral'!AI18</f>
        <v>0</v>
      </c>
      <c r="P17" s="16">
        <f>'Dados Geral'!AJ18</f>
        <v>0</v>
      </c>
      <c r="Q17" s="16">
        <f>'Dados Geral'!AK18</f>
        <v>1</v>
      </c>
      <c r="R17" s="16">
        <f>'Dados Geral'!AL18</f>
        <v>0</v>
      </c>
      <c r="S17" s="16">
        <f>'Dados Geral'!AM18</f>
        <v>1</v>
      </c>
      <c r="T17" s="16">
        <f>'Dados Geral'!AN18</f>
        <v>1</v>
      </c>
      <c r="U17" s="16">
        <f>'Dados Geral'!AO18</f>
        <v>1</v>
      </c>
      <c r="V17" s="16">
        <f>'Dados Geral'!AP18</f>
        <v>1</v>
      </c>
      <c r="W17" s="16">
        <f>'Dados Geral'!AQ18</f>
        <v>1</v>
      </c>
      <c r="X17" s="16">
        <f>'Dados Geral'!AR18</f>
        <v>1</v>
      </c>
      <c r="Y17" s="16">
        <f>'Dados Geral'!AS18</f>
        <v>1</v>
      </c>
      <c r="Z17" s="16">
        <f>'Dados Geral'!AT18</f>
        <v>0</v>
      </c>
      <c r="AA17" s="16">
        <f>'Dados Geral'!AU18</f>
        <v>0</v>
      </c>
      <c r="AB17" s="16">
        <f>'Dados Geral'!AV18</f>
        <v>0</v>
      </c>
      <c r="AC17" s="16">
        <f>'Dados Geral'!AW18</f>
        <v>0</v>
      </c>
      <c r="AD17" s="16">
        <f>'Dados Geral'!AX18</f>
        <v>1</v>
      </c>
      <c r="AE17" s="16">
        <f>'Dados Geral'!AY18</f>
        <v>1</v>
      </c>
      <c r="AF17" s="16">
        <f>'Dados Geral'!AZ18</f>
        <v>1</v>
      </c>
      <c r="AG17" s="16">
        <f>'Dados Geral'!BA18</f>
        <v>1</v>
      </c>
    </row>
    <row r="18" spans="1:33">
      <c r="A18" s="16" t="str">
        <f>'Dados Geral'!B19</f>
        <v>FACEPE</v>
      </c>
      <c r="B18" s="16">
        <f>'Dados Geral'!V19</f>
        <v>1</v>
      </c>
      <c r="C18" s="16">
        <f>'Dados Geral'!W19</f>
        <v>1</v>
      </c>
      <c r="D18" s="16">
        <f>'Dados Geral'!X19</f>
        <v>1</v>
      </c>
      <c r="E18" s="16">
        <f>'Dados Geral'!Y19</f>
        <v>1</v>
      </c>
      <c r="F18" s="16">
        <f>'Dados Geral'!Z19</f>
        <v>1</v>
      </c>
      <c r="G18" s="16">
        <f>'Dados Geral'!AA19</f>
        <v>0</v>
      </c>
      <c r="H18" s="16">
        <f>'Dados Geral'!AB19</f>
        <v>0</v>
      </c>
      <c r="I18" s="16">
        <f>'Dados Geral'!AC19</f>
        <v>1</v>
      </c>
      <c r="J18" s="16">
        <f>'Dados Geral'!AD19</f>
        <v>0</v>
      </c>
      <c r="K18" s="16">
        <f>'Dados Geral'!AE19</f>
        <v>1</v>
      </c>
      <c r="L18" s="16">
        <f>'Dados Geral'!AF19</f>
        <v>0</v>
      </c>
      <c r="M18" s="16">
        <f>'Dados Geral'!AG19</f>
        <v>0</v>
      </c>
      <c r="N18" s="16">
        <f>'Dados Geral'!AH19</f>
        <v>1</v>
      </c>
      <c r="O18" s="16">
        <f>'Dados Geral'!AI19</f>
        <v>0</v>
      </c>
      <c r="P18" s="16">
        <f>'Dados Geral'!AJ19</f>
        <v>1</v>
      </c>
      <c r="Q18" s="16">
        <f>'Dados Geral'!AK19</f>
        <v>1</v>
      </c>
      <c r="R18" s="16">
        <f>'Dados Geral'!AL19</f>
        <v>1</v>
      </c>
      <c r="S18" s="16">
        <f>'Dados Geral'!AM19</f>
        <v>0</v>
      </c>
      <c r="T18" s="16">
        <f>'Dados Geral'!AN19</f>
        <v>1</v>
      </c>
      <c r="U18" s="16">
        <f>'Dados Geral'!AO19</f>
        <v>1</v>
      </c>
      <c r="V18" s="16">
        <f>'Dados Geral'!AP19</f>
        <v>1</v>
      </c>
      <c r="W18" s="16">
        <f>'Dados Geral'!AQ19</f>
        <v>1</v>
      </c>
      <c r="X18" s="16">
        <f>'Dados Geral'!AR19</f>
        <v>1</v>
      </c>
      <c r="Y18" s="16">
        <f>'Dados Geral'!AS19</f>
        <v>1</v>
      </c>
      <c r="Z18" s="16">
        <f>'Dados Geral'!AT19</f>
        <v>0</v>
      </c>
      <c r="AA18" s="16">
        <f>'Dados Geral'!AU19</f>
        <v>0</v>
      </c>
      <c r="AB18" s="16">
        <f>'Dados Geral'!AV19</f>
        <v>1</v>
      </c>
      <c r="AC18" s="16">
        <f>'Dados Geral'!AW19</f>
        <v>0</v>
      </c>
      <c r="AD18" s="16">
        <f>'Dados Geral'!AX19</f>
        <v>1</v>
      </c>
      <c r="AE18" s="16">
        <f>'Dados Geral'!AY19</f>
        <v>0</v>
      </c>
      <c r="AF18" s="16">
        <f>'Dados Geral'!AZ19</f>
        <v>0</v>
      </c>
      <c r="AG18" s="16">
        <f>'Dados Geral'!BA19</f>
        <v>1</v>
      </c>
    </row>
    <row r="19" spans="1:33">
      <c r="A19" s="16" t="str">
        <f>'Dados Geral'!B20</f>
        <v>FAPEPI</v>
      </c>
      <c r="B19" s="16">
        <f>'Dados Geral'!V20</f>
        <v>1</v>
      </c>
      <c r="C19" s="16">
        <f>'Dados Geral'!W20</f>
        <v>1</v>
      </c>
      <c r="D19" s="16">
        <f>'Dados Geral'!X20</f>
        <v>1</v>
      </c>
      <c r="E19" s="16">
        <f>'Dados Geral'!Y20</f>
        <v>1</v>
      </c>
      <c r="F19" s="16">
        <f>'Dados Geral'!Z20</f>
        <v>1</v>
      </c>
      <c r="G19" s="16">
        <f>'Dados Geral'!AA20</f>
        <v>1</v>
      </c>
      <c r="H19" s="16">
        <f>'Dados Geral'!AB20</f>
        <v>1</v>
      </c>
      <c r="I19" s="16">
        <f>'Dados Geral'!AC20</f>
        <v>0</v>
      </c>
      <c r="J19" s="16">
        <f>'Dados Geral'!AD20</f>
        <v>0</v>
      </c>
      <c r="K19" s="16">
        <f>'Dados Geral'!AE20</f>
        <v>1</v>
      </c>
      <c r="L19" s="16">
        <f>'Dados Geral'!AF20</f>
        <v>0</v>
      </c>
      <c r="M19" s="16">
        <f>'Dados Geral'!AG20</f>
        <v>0</v>
      </c>
      <c r="N19" s="16">
        <f>'Dados Geral'!AH20</f>
        <v>1</v>
      </c>
      <c r="O19" s="16">
        <f>'Dados Geral'!AI20</f>
        <v>1</v>
      </c>
      <c r="P19" s="16">
        <f>'Dados Geral'!AJ20</f>
        <v>0</v>
      </c>
      <c r="Q19" s="16">
        <f>'Dados Geral'!AK20</f>
        <v>1</v>
      </c>
      <c r="R19" s="16">
        <f>'Dados Geral'!AL20</f>
        <v>1</v>
      </c>
      <c r="S19" s="16">
        <f>'Dados Geral'!AM20</f>
        <v>0</v>
      </c>
      <c r="T19" s="16">
        <f>'Dados Geral'!AN20</f>
        <v>1</v>
      </c>
      <c r="U19" s="16">
        <f>'Dados Geral'!AO20</f>
        <v>1</v>
      </c>
      <c r="V19" s="16">
        <f>'Dados Geral'!AP20</f>
        <v>1</v>
      </c>
      <c r="W19" s="16">
        <f>'Dados Geral'!AQ20</f>
        <v>1</v>
      </c>
      <c r="X19" s="16">
        <f>'Dados Geral'!AR20</f>
        <v>1</v>
      </c>
      <c r="Y19" s="16">
        <f>'Dados Geral'!AS20</f>
        <v>1</v>
      </c>
      <c r="Z19" s="16">
        <f>'Dados Geral'!AT20</f>
        <v>1</v>
      </c>
      <c r="AA19" s="16">
        <f>'Dados Geral'!AU20</f>
        <v>1</v>
      </c>
      <c r="AB19" s="16">
        <f>'Dados Geral'!AV20</f>
        <v>0</v>
      </c>
      <c r="AC19" s="16">
        <f>'Dados Geral'!AW20</f>
        <v>0</v>
      </c>
      <c r="AD19" s="16">
        <f>'Dados Geral'!AX20</f>
        <v>1</v>
      </c>
      <c r="AE19" s="16">
        <f>'Dados Geral'!AY20</f>
        <v>0</v>
      </c>
      <c r="AF19" s="16">
        <f>'Dados Geral'!AZ20</f>
        <v>0</v>
      </c>
      <c r="AG19" s="16">
        <f>'Dados Geral'!BA20</f>
        <v>1</v>
      </c>
    </row>
    <row r="20" spans="1:33">
      <c r="A20" s="16" t="str">
        <f>'Dados Geral'!B21</f>
        <v>FAPERJ</v>
      </c>
      <c r="B20" s="16">
        <f>'Dados Geral'!V21</f>
        <v>0</v>
      </c>
      <c r="C20" s="16">
        <f>'Dados Geral'!W21</f>
        <v>1</v>
      </c>
      <c r="D20" s="16">
        <f>'Dados Geral'!X21</f>
        <v>0</v>
      </c>
      <c r="E20" s="16">
        <f>'Dados Geral'!Y21</f>
        <v>0</v>
      </c>
      <c r="F20" s="16">
        <f>'Dados Geral'!Z21</f>
        <v>0</v>
      </c>
      <c r="G20" s="16">
        <f>'Dados Geral'!AA21</f>
        <v>0</v>
      </c>
      <c r="H20" s="16">
        <f>'Dados Geral'!AB21</f>
        <v>0</v>
      </c>
      <c r="I20" s="16">
        <f>'Dados Geral'!AC21</f>
        <v>0</v>
      </c>
      <c r="J20" s="16">
        <f>'Dados Geral'!AD21</f>
        <v>0</v>
      </c>
      <c r="K20" s="16">
        <f>'Dados Geral'!AE21</f>
        <v>0</v>
      </c>
      <c r="L20" s="16">
        <f>'Dados Geral'!AF21</f>
        <v>1</v>
      </c>
      <c r="M20" s="16">
        <f>'Dados Geral'!AG21</f>
        <v>0</v>
      </c>
      <c r="N20" s="16">
        <f>'Dados Geral'!AH21</f>
        <v>0</v>
      </c>
      <c r="O20" s="16">
        <f>'Dados Geral'!AI21</f>
        <v>1</v>
      </c>
      <c r="P20" s="16">
        <f>'Dados Geral'!AJ21</f>
        <v>1</v>
      </c>
      <c r="Q20" s="16">
        <f>'Dados Geral'!AK21</f>
        <v>0</v>
      </c>
      <c r="R20" s="16">
        <f>'Dados Geral'!AL21</f>
        <v>0</v>
      </c>
      <c r="S20" s="16">
        <f>'Dados Geral'!AM21</f>
        <v>0</v>
      </c>
      <c r="T20" s="16">
        <f>'Dados Geral'!AN21</f>
        <v>0</v>
      </c>
      <c r="U20" s="16">
        <f>'Dados Geral'!AO21</f>
        <v>0</v>
      </c>
      <c r="V20" s="16">
        <f>'Dados Geral'!AP21</f>
        <v>0</v>
      </c>
      <c r="W20" s="16">
        <f>'Dados Geral'!AQ21</f>
        <v>1</v>
      </c>
      <c r="X20" s="16">
        <f>'Dados Geral'!AR21</f>
        <v>0</v>
      </c>
      <c r="Y20" s="16">
        <f>'Dados Geral'!AS21</f>
        <v>0</v>
      </c>
      <c r="Z20" s="16">
        <f>'Dados Geral'!AT21</f>
        <v>1</v>
      </c>
      <c r="AA20" s="16">
        <f>'Dados Geral'!AU21</f>
        <v>0</v>
      </c>
      <c r="AB20" s="16">
        <f>'Dados Geral'!AV21</f>
        <v>0</v>
      </c>
      <c r="AC20" s="16">
        <f>'Dados Geral'!AW21</f>
        <v>0</v>
      </c>
      <c r="AD20" s="16">
        <f>'Dados Geral'!AX21</f>
        <v>0</v>
      </c>
      <c r="AE20" s="16">
        <f>'Dados Geral'!AY21</f>
        <v>1</v>
      </c>
      <c r="AF20" s="16">
        <f>'Dados Geral'!AZ21</f>
        <v>0</v>
      </c>
      <c r="AG20" s="16">
        <f>'Dados Geral'!BA21</f>
        <v>0</v>
      </c>
    </row>
    <row r="21" spans="1:33">
      <c r="A21" s="16" t="str">
        <f>'Dados Geral'!B22</f>
        <v>FAPERN</v>
      </c>
      <c r="B21" s="16">
        <f>'Dados Geral'!V22</f>
        <v>1</v>
      </c>
      <c r="C21" s="16">
        <f>'Dados Geral'!W22</f>
        <v>1</v>
      </c>
      <c r="D21" s="16">
        <f>'Dados Geral'!X22</f>
        <v>1</v>
      </c>
      <c r="E21" s="16">
        <f>'Dados Geral'!Y22</f>
        <v>1</v>
      </c>
      <c r="F21" s="16">
        <f>'Dados Geral'!Z22</f>
        <v>1</v>
      </c>
      <c r="G21" s="16">
        <f>'Dados Geral'!AA22</f>
        <v>1</v>
      </c>
      <c r="H21" s="16">
        <f>'Dados Geral'!AB22</f>
        <v>1</v>
      </c>
      <c r="I21" s="16">
        <f>'Dados Geral'!AC22</f>
        <v>1</v>
      </c>
      <c r="J21" s="16">
        <f>'Dados Geral'!AD22</f>
        <v>1</v>
      </c>
      <c r="K21" s="16">
        <f>'Dados Geral'!AE22</f>
        <v>1</v>
      </c>
      <c r="L21" s="16">
        <f>'Dados Geral'!AF22</f>
        <v>1</v>
      </c>
      <c r="M21" s="16">
        <f>'Dados Geral'!AG22</f>
        <v>1</v>
      </c>
      <c r="N21" s="16">
        <f>'Dados Geral'!AH22</f>
        <v>0</v>
      </c>
      <c r="O21" s="16">
        <f>'Dados Geral'!AI22</f>
        <v>0</v>
      </c>
      <c r="P21" s="16">
        <f>'Dados Geral'!AJ22</f>
        <v>0</v>
      </c>
      <c r="Q21" s="16">
        <f>'Dados Geral'!AK22</f>
        <v>1</v>
      </c>
      <c r="R21" s="16">
        <f>'Dados Geral'!AL22</f>
        <v>1</v>
      </c>
      <c r="S21" s="16">
        <f>'Dados Geral'!AM22</f>
        <v>1</v>
      </c>
      <c r="T21" s="16">
        <f>'Dados Geral'!AN22</f>
        <v>1</v>
      </c>
      <c r="U21" s="16">
        <f>'Dados Geral'!AO22</f>
        <v>1</v>
      </c>
      <c r="V21" s="16">
        <f>'Dados Geral'!AP22</f>
        <v>1</v>
      </c>
      <c r="W21" s="16">
        <f>'Dados Geral'!AQ22</f>
        <v>1</v>
      </c>
      <c r="X21" s="16">
        <f>'Dados Geral'!AR22</f>
        <v>1</v>
      </c>
      <c r="Y21" s="16">
        <f>'Dados Geral'!AS22</f>
        <v>1</v>
      </c>
      <c r="Z21" s="16">
        <f>'Dados Geral'!AT22</f>
        <v>1</v>
      </c>
      <c r="AA21" s="16">
        <f>'Dados Geral'!AU22</f>
        <v>1</v>
      </c>
      <c r="AB21" s="16">
        <f>'Dados Geral'!AV22</f>
        <v>1</v>
      </c>
      <c r="AC21" s="16">
        <f>'Dados Geral'!AW22</f>
        <v>1</v>
      </c>
      <c r="AD21" s="16">
        <f>'Dados Geral'!AX22</f>
        <v>1</v>
      </c>
      <c r="AE21" s="16">
        <f>'Dados Geral'!AY22</f>
        <v>1</v>
      </c>
      <c r="AF21" s="16">
        <f>'Dados Geral'!AZ22</f>
        <v>1</v>
      </c>
      <c r="AG21" s="16">
        <f>'Dados Geral'!BA22</f>
        <v>0</v>
      </c>
    </row>
    <row r="22" spans="1:33">
      <c r="A22" s="16" t="str">
        <f>'Dados Geral'!B23</f>
        <v>FAPERGS</v>
      </c>
      <c r="B22" s="16">
        <f>'Dados Geral'!V23</f>
        <v>1</v>
      </c>
      <c r="C22" s="16">
        <f>'Dados Geral'!W23</f>
        <v>1</v>
      </c>
      <c r="D22" s="16">
        <f>'Dados Geral'!X23</f>
        <v>1</v>
      </c>
      <c r="E22" s="16">
        <f>'Dados Geral'!Y23</f>
        <v>1</v>
      </c>
      <c r="F22" s="16">
        <f>'Dados Geral'!Z23</f>
        <v>1</v>
      </c>
      <c r="G22" s="16">
        <f>'Dados Geral'!AA23</f>
        <v>1</v>
      </c>
      <c r="H22" s="16">
        <f>'Dados Geral'!AB23</f>
        <v>1</v>
      </c>
      <c r="I22" s="16">
        <f>'Dados Geral'!AC23</f>
        <v>0</v>
      </c>
      <c r="J22" s="16">
        <f>'Dados Geral'!AD23</f>
        <v>0</v>
      </c>
      <c r="K22" s="16">
        <f>'Dados Geral'!AE23</f>
        <v>1</v>
      </c>
      <c r="L22" s="16">
        <f>'Dados Geral'!AF23</f>
        <v>0</v>
      </c>
      <c r="M22" s="16">
        <f>'Dados Geral'!AG23</f>
        <v>0</v>
      </c>
      <c r="N22" s="16">
        <f>'Dados Geral'!AH23</f>
        <v>0</v>
      </c>
      <c r="O22" s="16">
        <f>'Dados Geral'!AI23</f>
        <v>1</v>
      </c>
      <c r="P22" s="16">
        <f>'Dados Geral'!AJ23</f>
        <v>1</v>
      </c>
      <c r="Q22" s="16">
        <f>'Dados Geral'!AK23</f>
        <v>1</v>
      </c>
      <c r="R22" s="16">
        <f>'Dados Geral'!AL23</f>
        <v>1</v>
      </c>
      <c r="S22" s="16">
        <f>'Dados Geral'!AM23</f>
        <v>0</v>
      </c>
      <c r="T22" s="16">
        <f>'Dados Geral'!AN23</f>
        <v>1</v>
      </c>
      <c r="U22" s="16">
        <f>'Dados Geral'!AO23</f>
        <v>1</v>
      </c>
      <c r="V22" s="16">
        <f>'Dados Geral'!AP23</f>
        <v>1</v>
      </c>
      <c r="W22" s="16">
        <f>'Dados Geral'!AQ23</f>
        <v>1</v>
      </c>
      <c r="X22" s="16">
        <f>'Dados Geral'!AR23</f>
        <v>1</v>
      </c>
      <c r="Y22" s="16">
        <f>'Dados Geral'!AS23</f>
        <v>1</v>
      </c>
      <c r="Z22" s="16">
        <f>'Dados Geral'!AT23</f>
        <v>1</v>
      </c>
      <c r="AA22" s="16">
        <f>'Dados Geral'!AU23</f>
        <v>1</v>
      </c>
      <c r="AB22" s="16">
        <f>'Dados Geral'!AV23</f>
        <v>0</v>
      </c>
      <c r="AC22" s="16">
        <f>'Dados Geral'!AW23</f>
        <v>0</v>
      </c>
      <c r="AD22" s="16">
        <f>'Dados Geral'!AX23</f>
        <v>1</v>
      </c>
      <c r="AE22" s="16">
        <f>'Dados Geral'!AY23</f>
        <v>0</v>
      </c>
      <c r="AF22" s="16">
        <f>'Dados Geral'!AZ23</f>
        <v>0</v>
      </c>
      <c r="AG22" s="16">
        <f>'Dados Geral'!BA23</f>
        <v>0</v>
      </c>
    </row>
    <row r="23" spans="1:33">
      <c r="A23" s="16" t="str">
        <f>'Dados Geral'!B24</f>
        <v>FAPERO</v>
      </c>
      <c r="B23" s="16">
        <f>'Dados Geral'!V24</f>
        <v>0</v>
      </c>
      <c r="C23" s="16">
        <f>'Dados Geral'!W24</f>
        <v>1</v>
      </c>
      <c r="D23" s="16">
        <f>'Dados Geral'!X24</f>
        <v>0</v>
      </c>
      <c r="E23" s="16">
        <f>'Dados Geral'!Y24</f>
        <v>0</v>
      </c>
      <c r="F23" s="16">
        <f>'Dados Geral'!Z24</f>
        <v>1</v>
      </c>
      <c r="G23" s="16">
        <f>'Dados Geral'!AA24</f>
        <v>0</v>
      </c>
      <c r="H23" s="16">
        <f>'Dados Geral'!AB24</f>
        <v>1</v>
      </c>
      <c r="I23" s="16">
        <f>'Dados Geral'!AC24</f>
        <v>1</v>
      </c>
      <c r="J23" s="16">
        <f>'Dados Geral'!AD24</f>
        <v>1</v>
      </c>
      <c r="K23" s="16">
        <f>'Dados Geral'!AE24</f>
        <v>0</v>
      </c>
      <c r="L23" s="16">
        <f>'Dados Geral'!AF24</f>
        <v>1</v>
      </c>
      <c r="M23" s="16">
        <f>'Dados Geral'!AG24</f>
        <v>0</v>
      </c>
      <c r="N23" s="16">
        <f>'Dados Geral'!AH24</f>
        <v>1</v>
      </c>
      <c r="O23" s="16">
        <f>'Dados Geral'!AI24</f>
        <v>1</v>
      </c>
      <c r="P23" s="16">
        <f>'Dados Geral'!AJ24</f>
        <v>1</v>
      </c>
      <c r="Q23" s="16">
        <f>'Dados Geral'!AK24</f>
        <v>0</v>
      </c>
      <c r="R23" s="16">
        <f>'Dados Geral'!AL24</f>
        <v>0</v>
      </c>
      <c r="S23" s="16">
        <f>'Dados Geral'!AM24</f>
        <v>1</v>
      </c>
      <c r="T23" s="16">
        <f>'Dados Geral'!AN24</f>
        <v>0</v>
      </c>
      <c r="U23" s="16">
        <f>'Dados Geral'!AO24</f>
        <v>0</v>
      </c>
      <c r="V23" s="16">
        <f>'Dados Geral'!AP24</f>
        <v>0</v>
      </c>
      <c r="W23" s="16">
        <f>'Dados Geral'!AQ24</f>
        <v>0</v>
      </c>
      <c r="X23" s="16">
        <f>'Dados Geral'!AR24</f>
        <v>0</v>
      </c>
      <c r="Y23" s="16">
        <f>'Dados Geral'!AS24</f>
        <v>0</v>
      </c>
      <c r="Z23" s="16">
        <f>'Dados Geral'!AT24</f>
        <v>0</v>
      </c>
      <c r="AA23" s="16">
        <f>'Dados Geral'!AU24</f>
        <v>1</v>
      </c>
      <c r="AB23" s="16">
        <f>'Dados Geral'!AV24</f>
        <v>1</v>
      </c>
      <c r="AC23" s="16">
        <f>'Dados Geral'!AW24</f>
        <v>1</v>
      </c>
      <c r="AD23" s="16">
        <f>'Dados Geral'!AX24</f>
        <v>0</v>
      </c>
      <c r="AE23" s="16">
        <f>'Dados Geral'!AY24</f>
        <v>1</v>
      </c>
      <c r="AF23" s="16">
        <f>'Dados Geral'!AZ24</f>
        <v>0</v>
      </c>
      <c r="AG23" s="16">
        <f>'Dados Geral'!BA24</f>
        <v>1</v>
      </c>
    </row>
    <row r="24" spans="1:33">
      <c r="A24" s="16" t="str">
        <f>'Dados Geral'!B25</f>
        <v>FAPERR</v>
      </c>
      <c r="B24" s="16">
        <f>'Dados Geral'!V25</f>
        <v>0</v>
      </c>
      <c r="C24" s="16">
        <f>'Dados Geral'!W25</f>
        <v>0</v>
      </c>
      <c r="D24" s="16">
        <f>'Dados Geral'!X25</f>
        <v>0</v>
      </c>
      <c r="E24" s="16">
        <f>'Dados Geral'!Y25</f>
        <v>1</v>
      </c>
      <c r="F24" s="16">
        <f>'Dados Geral'!Z25</f>
        <v>0</v>
      </c>
      <c r="G24" s="16">
        <f>'Dados Geral'!AA25</f>
        <v>1</v>
      </c>
      <c r="H24" s="16">
        <f>'Dados Geral'!AB25</f>
        <v>1</v>
      </c>
      <c r="I24" s="16">
        <f>'Dados Geral'!AC25</f>
        <v>0</v>
      </c>
      <c r="J24" s="16">
        <f>'Dados Geral'!AD25</f>
        <v>1</v>
      </c>
      <c r="K24" s="16">
        <f>'Dados Geral'!AE25</f>
        <v>0</v>
      </c>
      <c r="L24" s="16">
        <f>'Dados Geral'!AF25</f>
        <v>0</v>
      </c>
      <c r="M24" s="16">
        <f>'Dados Geral'!AG25</f>
        <v>1</v>
      </c>
      <c r="N24" s="16">
        <f>'Dados Geral'!AH25</f>
        <v>0</v>
      </c>
      <c r="O24" s="16">
        <f>'Dados Geral'!AI25</f>
        <v>1</v>
      </c>
      <c r="P24" s="16">
        <f>'Dados Geral'!AJ25</f>
        <v>0</v>
      </c>
      <c r="Q24" s="16">
        <f>'Dados Geral'!AK25</f>
        <v>0</v>
      </c>
      <c r="R24" s="16">
        <f>'Dados Geral'!AL25</f>
        <v>0</v>
      </c>
      <c r="S24" s="16">
        <f>'Dados Geral'!AM25</f>
        <v>1</v>
      </c>
      <c r="T24" s="16">
        <f>'Dados Geral'!AN25</f>
        <v>0</v>
      </c>
      <c r="U24" s="16">
        <f>'Dados Geral'!AO25</f>
        <v>0</v>
      </c>
      <c r="V24" s="16">
        <f>'Dados Geral'!AP25</f>
        <v>0</v>
      </c>
      <c r="W24" s="16">
        <f>'Dados Geral'!AQ25</f>
        <v>0</v>
      </c>
      <c r="X24" s="16">
        <f>'Dados Geral'!AR25</f>
        <v>0</v>
      </c>
      <c r="Y24" s="16">
        <f>'Dados Geral'!AS25</f>
        <v>0</v>
      </c>
      <c r="Z24" s="16">
        <f>'Dados Geral'!AT25</f>
        <v>1</v>
      </c>
      <c r="AA24" s="16">
        <f>'Dados Geral'!AU25</f>
        <v>1</v>
      </c>
      <c r="AB24" s="16">
        <f>'Dados Geral'!AV25</f>
        <v>0</v>
      </c>
      <c r="AC24" s="16">
        <f>'Dados Geral'!AW25</f>
        <v>1</v>
      </c>
      <c r="AD24" s="16">
        <f>'Dados Geral'!AX25</f>
        <v>0</v>
      </c>
      <c r="AE24" s="16">
        <f>'Dados Geral'!AY25</f>
        <v>0</v>
      </c>
      <c r="AF24" s="16">
        <f>'Dados Geral'!AZ25</f>
        <v>1</v>
      </c>
      <c r="AG24" s="16">
        <f>'Dados Geral'!BA25</f>
        <v>0</v>
      </c>
    </row>
    <row r="25" spans="1:33">
      <c r="A25" s="16" t="str">
        <f>'Dados Geral'!B26</f>
        <v>FAPESC</v>
      </c>
      <c r="B25" s="16">
        <f>'Dados Geral'!V26</f>
        <v>1</v>
      </c>
      <c r="C25" s="16">
        <f>'Dados Geral'!W26</f>
        <v>0</v>
      </c>
      <c r="D25" s="16">
        <f>'Dados Geral'!X26</f>
        <v>1</v>
      </c>
      <c r="E25" s="16">
        <f>'Dados Geral'!Y26</f>
        <v>0</v>
      </c>
      <c r="F25" s="16">
        <f>'Dados Geral'!Z26</f>
        <v>0</v>
      </c>
      <c r="G25" s="16">
        <f>'Dados Geral'!AA26</f>
        <v>0</v>
      </c>
      <c r="H25" s="16">
        <f>'Dados Geral'!AB26</f>
        <v>1</v>
      </c>
      <c r="I25" s="16">
        <f>'Dados Geral'!AC26</f>
        <v>1</v>
      </c>
      <c r="J25" s="16">
        <f>'Dados Geral'!AD26</f>
        <v>1</v>
      </c>
      <c r="K25" s="16">
        <f>'Dados Geral'!AE26</f>
        <v>0</v>
      </c>
      <c r="L25" s="16">
        <f>'Dados Geral'!AF26</f>
        <v>1</v>
      </c>
      <c r="M25" s="16">
        <f>'Dados Geral'!AG26</f>
        <v>0</v>
      </c>
      <c r="N25" s="16">
        <f>'Dados Geral'!AH26</f>
        <v>1</v>
      </c>
      <c r="O25" s="16">
        <f>'Dados Geral'!AI26</f>
        <v>0</v>
      </c>
      <c r="P25" s="16">
        <f>'Dados Geral'!AJ26</f>
        <v>1</v>
      </c>
      <c r="Q25" s="16">
        <f>'Dados Geral'!AK26</f>
        <v>0</v>
      </c>
      <c r="R25" s="16">
        <f>'Dados Geral'!AL26</f>
        <v>1</v>
      </c>
      <c r="S25" s="16">
        <f>'Dados Geral'!AM26</f>
        <v>0</v>
      </c>
      <c r="T25" s="16">
        <f>'Dados Geral'!AN26</f>
        <v>0</v>
      </c>
      <c r="U25" s="16">
        <f>'Dados Geral'!AO26</f>
        <v>1</v>
      </c>
      <c r="V25" s="16">
        <f>'Dados Geral'!AP26</f>
        <v>0</v>
      </c>
      <c r="W25" s="16">
        <f>'Dados Geral'!AQ26</f>
        <v>0</v>
      </c>
      <c r="X25" s="16">
        <f>'Dados Geral'!AR26</f>
        <v>1</v>
      </c>
      <c r="Y25" s="16">
        <f>'Dados Geral'!AS26</f>
        <v>0</v>
      </c>
      <c r="Z25" s="16">
        <f>'Dados Geral'!AT26</f>
        <v>1</v>
      </c>
      <c r="AA25" s="16">
        <f>'Dados Geral'!AU26</f>
        <v>1</v>
      </c>
      <c r="AB25" s="16">
        <f>'Dados Geral'!AV26</f>
        <v>1</v>
      </c>
      <c r="AC25" s="16">
        <f>'Dados Geral'!AW26</f>
        <v>1</v>
      </c>
      <c r="AD25" s="16">
        <f>'Dados Geral'!AX26</f>
        <v>0</v>
      </c>
      <c r="AE25" s="16">
        <f>'Dados Geral'!AY26</f>
        <v>1</v>
      </c>
      <c r="AF25" s="16">
        <f>'Dados Geral'!AZ26</f>
        <v>0</v>
      </c>
      <c r="AG25" s="16">
        <f>'Dados Geral'!BA26</f>
        <v>1</v>
      </c>
    </row>
    <row r="26" spans="1:33">
      <c r="A26" s="16" t="str">
        <f>'Dados Geral'!B27</f>
        <v>FAPESP</v>
      </c>
      <c r="B26" s="16">
        <f>'Dados Geral'!V27</f>
        <v>1</v>
      </c>
      <c r="C26" s="16">
        <f>'Dados Geral'!W27</f>
        <v>1</v>
      </c>
      <c r="D26" s="16">
        <f>'Dados Geral'!X27</f>
        <v>1</v>
      </c>
      <c r="E26" s="16">
        <f>'Dados Geral'!Y27</f>
        <v>1</v>
      </c>
      <c r="F26" s="16">
        <f>'Dados Geral'!Z27</f>
        <v>1</v>
      </c>
      <c r="G26" s="16">
        <f>'Dados Geral'!AA27</f>
        <v>0</v>
      </c>
      <c r="H26" s="16">
        <f>'Dados Geral'!AB27</f>
        <v>1</v>
      </c>
      <c r="I26" s="16">
        <f>'Dados Geral'!AC27</f>
        <v>0</v>
      </c>
      <c r="J26" s="16">
        <f>'Dados Geral'!AD27</f>
        <v>1</v>
      </c>
      <c r="K26" s="16">
        <f>'Dados Geral'!AE27</f>
        <v>1</v>
      </c>
      <c r="L26" s="16">
        <f>'Dados Geral'!AF27</f>
        <v>0</v>
      </c>
      <c r="M26" s="16">
        <f>'Dados Geral'!AG27</f>
        <v>1</v>
      </c>
      <c r="N26" s="16">
        <f>'Dados Geral'!AH27</f>
        <v>1</v>
      </c>
      <c r="O26" s="16">
        <f>'Dados Geral'!AI27</f>
        <v>1</v>
      </c>
      <c r="P26" s="16">
        <f>'Dados Geral'!AJ27</f>
        <v>0</v>
      </c>
      <c r="Q26" s="16">
        <f>'Dados Geral'!AK27</f>
        <v>1</v>
      </c>
      <c r="R26" s="16">
        <f>'Dados Geral'!AL27</f>
        <v>1</v>
      </c>
      <c r="S26" s="16">
        <f>'Dados Geral'!AM27</f>
        <v>1</v>
      </c>
      <c r="T26" s="16">
        <f>'Dados Geral'!AN27</f>
        <v>1</v>
      </c>
      <c r="U26" s="16">
        <f>'Dados Geral'!AO27</f>
        <v>1</v>
      </c>
      <c r="V26" s="16">
        <f>'Dados Geral'!AP27</f>
        <v>1</v>
      </c>
      <c r="W26" s="16">
        <f>'Dados Geral'!AQ27</f>
        <v>1</v>
      </c>
      <c r="X26" s="16">
        <f>'Dados Geral'!AR27</f>
        <v>1</v>
      </c>
      <c r="Y26" s="16">
        <f>'Dados Geral'!AS27</f>
        <v>1</v>
      </c>
      <c r="Z26" s="16">
        <f>'Dados Geral'!AT27</f>
        <v>0</v>
      </c>
      <c r="AA26" s="16">
        <f>'Dados Geral'!AU27</f>
        <v>0</v>
      </c>
      <c r="AB26" s="16">
        <f>'Dados Geral'!AV27</f>
        <v>0</v>
      </c>
      <c r="AC26" s="16">
        <f>'Dados Geral'!AW27</f>
        <v>1</v>
      </c>
      <c r="AD26" s="16">
        <f>'Dados Geral'!AX27</f>
        <v>1</v>
      </c>
      <c r="AE26" s="16">
        <f>'Dados Geral'!AY27</f>
        <v>0</v>
      </c>
      <c r="AF26" s="16">
        <f>'Dados Geral'!AZ27</f>
        <v>1</v>
      </c>
      <c r="AG26" s="16">
        <f>'Dados Geral'!BA27</f>
        <v>1</v>
      </c>
    </row>
    <row r="27" spans="1:33">
      <c r="A27" s="16" t="str">
        <f>'Dados Geral'!B28</f>
        <v>FAPITEC</v>
      </c>
      <c r="B27" s="16">
        <f>'Dados Geral'!V28</f>
        <v>1</v>
      </c>
      <c r="C27" s="16">
        <f>'Dados Geral'!W28</f>
        <v>1</v>
      </c>
      <c r="D27" s="16">
        <f>'Dados Geral'!X28</f>
        <v>1</v>
      </c>
      <c r="E27" s="16">
        <f>'Dados Geral'!Y28</f>
        <v>1</v>
      </c>
      <c r="F27" s="16">
        <f>'Dados Geral'!Z28</f>
        <v>1</v>
      </c>
      <c r="G27" s="16">
        <f>'Dados Geral'!AA28</f>
        <v>0</v>
      </c>
      <c r="H27" s="16">
        <f>'Dados Geral'!AB28</f>
        <v>0</v>
      </c>
      <c r="I27" s="16">
        <f>'Dados Geral'!AC28</f>
        <v>1</v>
      </c>
      <c r="J27" s="16">
        <f>'Dados Geral'!AD28</f>
        <v>0</v>
      </c>
      <c r="K27" s="16">
        <f>'Dados Geral'!AE28</f>
        <v>1</v>
      </c>
      <c r="L27" s="16">
        <f>'Dados Geral'!AF28</f>
        <v>0</v>
      </c>
      <c r="M27" s="16">
        <f>'Dados Geral'!AG28</f>
        <v>0</v>
      </c>
      <c r="N27" s="16">
        <f>'Dados Geral'!AH28</f>
        <v>0</v>
      </c>
      <c r="O27" s="16">
        <f>'Dados Geral'!AI28</f>
        <v>0</v>
      </c>
      <c r="P27" s="16">
        <f>'Dados Geral'!AJ28</f>
        <v>0</v>
      </c>
      <c r="Q27" s="16">
        <f>'Dados Geral'!AK28</f>
        <v>1</v>
      </c>
      <c r="R27" s="16">
        <f>'Dados Geral'!AL28</f>
        <v>0</v>
      </c>
      <c r="S27" s="16">
        <f>'Dados Geral'!AM28</f>
        <v>0</v>
      </c>
      <c r="T27" s="16">
        <f>'Dados Geral'!AN28</f>
        <v>1</v>
      </c>
      <c r="U27" s="16">
        <f>'Dados Geral'!AO28</f>
        <v>1</v>
      </c>
      <c r="V27" s="16">
        <f>'Dados Geral'!AP28</f>
        <v>1</v>
      </c>
      <c r="W27" s="16">
        <f>'Dados Geral'!AQ28</f>
        <v>1</v>
      </c>
      <c r="X27" s="16">
        <f>'Dados Geral'!AR28</f>
        <v>1</v>
      </c>
      <c r="Y27" s="16">
        <f>'Dados Geral'!AS28</f>
        <v>1</v>
      </c>
      <c r="Z27" s="16">
        <f>'Dados Geral'!AT28</f>
        <v>0</v>
      </c>
      <c r="AA27" s="16">
        <f>'Dados Geral'!AU28</f>
        <v>0</v>
      </c>
      <c r="AB27" s="16">
        <f>'Dados Geral'!AV28</f>
        <v>1</v>
      </c>
      <c r="AC27" s="16">
        <f>'Dados Geral'!AW28</f>
        <v>0</v>
      </c>
      <c r="AD27" s="16">
        <f>'Dados Geral'!AX28</f>
        <v>1</v>
      </c>
      <c r="AE27" s="16">
        <f>'Dados Geral'!AY28</f>
        <v>0</v>
      </c>
      <c r="AF27" s="16">
        <f>'Dados Geral'!AZ28</f>
        <v>0</v>
      </c>
      <c r="AG27" s="16">
        <f>'Dados Geral'!BA28</f>
        <v>0</v>
      </c>
    </row>
    <row r="28" spans="1:33">
      <c r="A28" s="16" t="str">
        <f>'Dados Geral'!B29</f>
        <v>FAPT</v>
      </c>
      <c r="B28" s="16">
        <f>'Dados Geral'!V29</f>
        <v>0</v>
      </c>
      <c r="C28" s="16">
        <f>'Dados Geral'!W29</f>
        <v>0</v>
      </c>
      <c r="D28" s="16">
        <f>'Dados Geral'!X29</f>
        <v>0</v>
      </c>
      <c r="E28" s="16">
        <f>'Dados Geral'!Y29</f>
        <v>0</v>
      </c>
      <c r="F28" s="16">
        <f>'Dados Geral'!Z29</f>
        <v>0</v>
      </c>
      <c r="G28" s="16">
        <f>'Dados Geral'!AA29</f>
        <v>0</v>
      </c>
      <c r="H28" s="16">
        <f>'Dados Geral'!AB29</f>
        <v>0</v>
      </c>
      <c r="I28" s="16">
        <f>'Dados Geral'!AC29</f>
        <v>0</v>
      </c>
      <c r="J28" s="16">
        <f>'Dados Geral'!AD29</f>
        <v>1</v>
      </c>
      <c r="K28" s="16">
        <f>'Dados Geral'!AE29</f>
        <v>0</v>
      </c>
      <c r="L28" s="16">
        <f>'Dados Geral'!AF29</f>
        <v>1</v>
      </c>
      <c r="M28" s="16">
        <f>'Dados Geral'!AG29</f>
        <v>1</v>
      </c>
      <c r="N28" s="16">
        <f>'Dados Geral'!AH29</f>
        <v>1</v>
      </c>
      <c r="O28" s="16">
        <f>'Dados Geral'!AI29</f>
        <v>0</v>
      </c>
      <c r="P28" s="16">
        <f>'Dados Geral'!AJ29</f>
        <v>0</v>
      </c>
      <c r="Q28" s="16">
        <f>'Dados Geral'!AK29</f>
        <v>0</v>
      </c>
      <c r="R28" s="16">
        <f>'Dados Geral'!AL29</f>
        <v>0</v>
      </c>
      <c r="S28" s="16">
        <f>'Dados Geral'!AM29</f>
        <v>0</v>
      </c>
      <c r="T28" s="16">
        <f>'Dados Geral'!AN29</f>
        <v>0</v>
      </c>
      <c r="U28" s="16">
        <f>'Dados Geral'!AO29</f>
        <v>0</v>
      </c>
      <c r="V28" s="16">
        <f>'Dados Geral'!AP29</f>
        <v>0</v>
      </c>
      <c r="W28" s="16">
        <f>'Dados Geral'!AQ29</f>
        <v>0</v>
      </c>
      <c r="X28" s="16">
        <f>'Dados Geral'!AR29</f>
        <v>0</v>
      </c>
      <c r="Y28" s="16">
        <f>'Dados Geral'!AS29</f>
        <v>0</v>
      </c>
      <c r="Z28" s="16">
        <f>'Dados Geral'!AT29</f>
        <v>0</v>
      </c>
      <c r="AA28" s="16">
        <f>'Dados Geral'!AU29</f>
        <v>0</v>
      </c>
      <c r="AB28" s="16">
        <f>'Dados Geral'!AV29</f>
        <v>0</v>
      </c>
      <c r="AC28" s="16">
        <f>'Dados Geral'!AW29</f>
        <v>1</v>
      </c>
      <c r="AD28" s="16">
        <f>'Dados Geral'!AX29</f>
        <v>0</v>
      </c>
      <c r="AE28" s="16">
        <f>'Dados Geral'!AY29</f>
        <v>1</v>
      </c>
      <c r="AF28" s="16">
        <f>'Dados Geral'!AZ29</f>
        <v>1</v>
      </c>
      <c r="AG28" s="16">
        <f>'Dados Geral'!BA29</f>
        <v>1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28"/>
  <sheetViews>
    <sheetView workbookViewId="0"/>
  </sheetViews>
  <sheetFormatPr defaultColWidth="14.42578125" defaultRowHeight="15" customHeight="1"/>
  <sheetData>
    <row r="1" spans="1:32">
      <c r="A1" s="16" t="str">
        <f>'Dados Geral'!B2</f>
        <v>FUNDAÇÃO</v>
      </c>
      <c r="B1" s="16" t="str">
        <f>'Dados Geral'!BB2</f>
        <v>Há uma área específica para governança e informações financeiras</v>
      </c>
      <c r="C1" s="16" t="str">
        <f>'Dados Geral'!BC2</f>
        <v>Há uma área específica para informações gerais</v>
      </c>
      <c r="D1" s="16" t="str">
        <f>'Dados Geral'!BD2</f>
        <v>Há links para outros sites relacionados</v>
      </c>
      <c r="E1" s="16" t="str">
        <f>'Dados Geral'!BE2</f>
        <v>Um endereço de e-mail para contato é fornecido</v>
      </c>
      <c r="F1" s="16" t="str">
        <f>'Dados Geral'!BF2</f>
        <v>O conteúdo é apresentado em um maneira estruturada e alinhada e pode ser acessado rápida e diretamente</v>
      </c>
      <c r="G1" s="16" t="str">
        <f>'Dados Geral'!BG2</f>
        <v>Os títulos são claros e significativos e a linguagem utilizada é adaptada aos cidadãos</v>
      </c>
      <c r="H1" s="16" t="str">
        <f>'Dados Geral'!BH2</f>
        <v>Divulgação de fotografias das atividades desenvolvidas pela organização</v>
      </c>
      <c r="I1" s="16" t="str">
        <f>'Dados Geral'!BI2</f>
        <v>Divulgação de vídeos das atividades realizadas pela organização</v>
      </c>
      <c r="J1" s="16" t="str">
        <f>'Dados Geral'!BJ2</f>
        <v>Existe um correio postal endereço, número de telefone e fax, etc. da pessoa de contato</v>
      </c>
      <c r="K1" s="16" t="str">
        <f>'Dados Geral'!BK2</f>
        <v>Existe um sistema de busca</v>
      </c>
      <c r="L1" s="16" t="str">
        <f>'Dados Geral'!BL2</f>
        <v>Existe um sistema de busca avançada</v>
      </c>
      <c r="M1" s="16" t="str">
        <f>'Dados Geral'!BM2</f>
        <v>Um mapa do site da Web está incluído</v>
      </c>
      <c r="N1" s="16" t="str">
        <f>'Dados Geral'!BN2</f>
        <v>Existe um menu de ajuda</v>
      </c>
      <c r="O1" s="16" t="str">
        <f>'Dados Geral'!BO2</f>
        <v>Há informações em outros idiomas (pelo menos em inglês)</v>
      </c>
      <c r="P1" s="16" t="str">
        <f>'Dados Geral'!BP2</f>
        <v>É permitido o download de arquivos em formato de planilha</v>
      </c>
      <c r="Q1" s="16" t="str">
        <f>'Dados Geral'!BQ2</f>
        <v>Existe um sistema de hiperlinks que relaciona diferentes áreas do site</v>
      </c>
      <c r="R1" s="16" t="str">
        <f>'Dados Geral'!BR2</f>
        <v>São utilizados formatos que permitem a impressão correta da informação</v>
      </c>
      <c r="S1" s="16" t="str">
        <f>'Dados Geral'!BS2</f>
        <v>A velocidade de resposta ao navegar no site que não impeça a efetiva qualidade da consulta</v>
      </c>
      <c r="T1" s="16" t="str">
        <f>'Dados Geral'!BT2</f>
        <v>Existe uma área para perguntas frequentes</v>
      </c>
      <c r="U1" s="16" t="str">
        <f>'Dados Geral'!BU2</f>
        <v>Estabelece normas de acessibilidade para pessoas com deficiência</v>
      </c>
      <c r="V1" s="16" t="str">
        <f>'Dados Geral'!BV2</f>
        <v>Indica a data da última atualização</v>
      </c>
      <c r="W1" s="16" t="str">
        <f>'Dados Geral'!BW2</f>
        <v>Pode-se ser notificado por e-mail quando atualizações são feitas</v>
      </c>
      <c r="X1" s="16" t="str">
        <f>'Dados Geral'!BX2</f>
        <v>Indica quando as informações são criadas por terceiro</v>
      </c>
      <c r="Y1" s="16" t="str">
        <f>'Dados Geral'!BY2</f>
        <v>O site possui um espaço de uso exclusivo para facilitar a administração de pessoal e de atividades</v>
      </c>
      <c r="Z1" s="16" t="str">
        <f>'Dados Geral'!BZ2</f>
        <v>Publicam- se ofertas de trabalho ou editais de contratação para pessoal remunerado</v>
      </c>
      <c r="AA1" s="16" t="str">
        <f>'Dados Geral'!CA2</f>
        <v>Doações online podem ser feitas</v>
      </c>
      <c r="AB1" s="16" t="str">
        <f>'Dados Geral'!CB2</f>
        <v>São oferecidas parcerias ou adesões</v>
      </c>
      <c r="AC1" s="16" t="str">
        <f>'Dados Geral'!CC2</f>
        <v>São publicados boletins periódicos de informações sobre as atividades da organização</v>
      </c>
      <c r="AD1" s="16" t="str">
        <f>'Dados Geral'!CD2</f>
        <v>Existem fóruns abertos para envio de sugestões, críticas ou comentários sobre o trabalho desenvolvido pela organização</v>
      </c>
      <c r="AE1" s="16" t="str">
        <f>'Dados Geral'!CE2</f>
        <v>Os usuários têm a oportunidade de receber atualizações regulares por meio eletrônico</v>
      </c>
      <c r="AF1" s="16" t="str">
        <f>'Dados Geral'!CF2</f>
        <v>Os parceiros têm um espaço de acesso exclusivo que lhes permite realizar atividades administrativas: obter certificados de doações, atualizar seus dados, fazer contribuições, etc.</v>
      </c>
    </row>
    <row r="2" spans="1:32">
      <c r="A2" s="16" t="str">
        <f>'Dados Geral'!B3</f>
        <v>FAPAC</v>
      </c>
      <c r="B2" s="16">
        <f>'Dados Geral'!BB3</f>
        <v>0</v>
      </c>
      <c r="C2" s="16">
        <f>'Dados Geral'!BC3</f>
        <v>1</v>
      </c>
      <c r="D2" s="16">
        <f>'Dados Geral'!BD3</f>
        <v>0</v>
      </c>
      <c r="E2" s="16">
        <f>'Dados Geral'!BE3</f>
        <v>0</v>
      </c>
      <c r="F2" s="16">
        <f>'Dados Geral'!BF3</f>
        <v>1</v>
      </c>
      <c r="G2" s="16">
        <f>'Dados Geral'!BG3</f>
        <v>0</v>
      </c>
      <c r="H2" s="16">
        <f>'Dados Geral'!BH3</f>
        <v>0</v>
      </c>
      <c r="I2" s="16">
        <f>'Dados Geral'!BI3</f>
        <v>0</v>
      </c>
      <c r="J2" s="16">
        <f>'Dados Geral'!BJ3</f>
        <v>0</v>
      </c>
      <c r="K2" s="16">
        <f>'Dados Geral'!BK3</f>
        <v>1</v>
      </c>
      <c r="L2" s="16">
        <f>'Dados Geral'!BL3</f>
        <v>0</v>
      </c>
      <c r="M2" s="16">
        <f>'Dados Geral'!BM3</f>
        <v>1</v>
      </c>
      <c r="N2" s="16">
        <f>'Dados Geral'!BN3</f>
        <v>0</v>
      </c>
      <c r="O2" s="16">
        <f>'Dados Geral'!BO3</f>
        <v>1</v>
      </c>
      <c r="P2" s="16">
        <f>'Dados Geral'!BP3</f>
        <v>1</v>
      </c>
      <c r="Q2" s="16">
        <f>'Dados Geral'!BQ3</f>
        <v>0</v>
      </c>
      <c r="R2" s="16">
        <f>'Dados Geral'!BR3</f>
        <v>0</v>
      </c>
      <c r="S2" s="16">
        <f>'Dados Geral'!BS3</f>
        <v>1</v>
      </c>
      <c r="T2" s="16">
        <f>'Dados Geral'!BT3</f>
        <v>0</v>
      </c>
      <c r="U2" s="16">
        <f>'Dados Geral'!BU3</f>
        <v>1</v>
      </c>
      <c r="V2" s="16">
        <f>'Dados Geral'!BV3</f>
        <v>0</v>
      </c>
      <c r="W2" s="16">
        <f>'Dados Geral'!BW3</f>
        <v>1</v>
      </c>
      <c r="X2" s="16">
        <f>'Dados Geral'!BX3</f>
        <v>1</v>
      </c>
      <c r="Y2" s="16">
        <f>'Dados Geral'!BY3</f>
        <v>0</v>
      </c>
      <c r="Z2" s="16">
        <f>'Dados Geral'!BZ3</f>
        <v>0</v>
      </c>
      <c r="AA2" s="16">
        <f>'Dados Geral'!CA3</f>
        <v>1</v>
      </c>
      <c r="AB2" s="16">
        <f>'Dados Geral'!CB3</f>
        <v>0</v>
      </c>
      <c r="AC2" s="16">
        <f>'Dados Geral'!CC3</f>
        <v>0</v>
      </c>
      <c r="AD2" s="16">
        <f>'Dados Geral'!CD3</f>
        <v>0</v>
      </c>
      <c r="AE2" s="16">
        <f>'Dados Geral'!CE3</f>
        <v>1</v>
      </c>
      <c r="AF2" s="16">
        <f>'Dados Geral'!CF3</f>
        <v>0</v>
      </c>
    </row>
    <row r="3" spans="1:32">
      <c r="A3" s="16" t="str">
        <f>'Dados Geral'!B4</f>
        <v>PAFEAL</v>
      </c>
      <c r="B3" s="16">
        <f>'Dados Geral'!BB4</f>
        <v>0</v>
      </c>
      <c r="C3" s="16">
        <f>'Dados Geral'!BC4</f>
        <v>1</v>
      </c>
      <c r="D3" s="16">
        <f>'Dados Geral'!BD4</f>
        <v>1</v>
      </c>
      <c r="E3" s="16">
        <f>'Dados Geral'!BE4</f>
        <v>0</v>
      </c>
      <c r="F3" s="16">
        <f>'Dados Geral'!BF4</f>
        <v>1</v>
      </c>
      <c r="G3" s="16">
        <f>'Dados Geral'!BG4</f>
        <v>1</v>
      </c>
      <c r="H3" s="16">
        <f>'Dados Geral'!BH4</f>
        <v>0</v>
      </c>
      <c r="I3" s="16">
        <f>'Dados Geral'!BI4</f>
        <v>1</v>
      </c>
      <c r="J3" s="16">
        <f>'Dados Geral'!BJ4</f>
        <v>0</v>
      </c>
      <c r="K3" s="16">
        <f>'Dados Geral'!BK4</f>
        <v>1</v>
      </c>
      <c r="L3" s="16">
        <f>'Dados Geral'!BL4</f>
        <v>0</v>
      </c>
      <c r="M3" s="16">
        <f>'Dados Geral'!BM4</f>
        <v>1</v>
      </c>
      <c r="N3" s="16">
        <f>'Dados Geral'!BN4</f>
        <v>1</v>
      </c>
      <c r="O3" s="16">
        <f>'Dados Geral'!BO4</f>
        <v>0</v>
      </c>
      <c r="P3" s="16">
        <f>'Dados Geral'!BP4</f>
        <v>1</v>
      </c>
      <c r="Q3" s="16">
        <f>'Dados Geral'!BQ4</f>
        <v>0</v>
      </c>
      <c r="R3" s="16">
        <f>'Dados Geral'!BR4</f>
        <v>0</v>
      </c>
      <c r="S3" s="16">
        <f>'Dados Geral'!BS4</f>
        <v>1</v>
      </c>
      <c r="T3" s="16">
        <f>'Dados Geral'!BT4</f>
        <v>0</v>
      </c>
      <c r="U3" s="16">
        <f>'Dados Geral'!BU4</f>
        <v>1</v>
      </c>
      <c r="V3" s="16">
        <f>'Dados Geral'!BV4</f>
        <v>1</v>
      </c>
      <c r="W3" s="16">
        <f>'Dados Geral'!BW4</f>
        <v>0</v>
      </c>
      <c r="X3" s="16">
        <f>'Dados Geral'!BX4</f>
        <v>1</v>
      </c>
      <c r="Y3" s="16">
        <f>'Dados Geral'!BY4</f>
        <v>0</v>
      </c>
      <c r="Z3" s="16">
        <f>'Dados Geral'!BZ4</f>
        <v>0</v>
      </c>
      <c r="AA3" s="16">
        <f>'Dados Geral'!CA4</f>
        <v>0</v>
      </c>
      <c r="AB3" s="16">
        <f>'Dados Geral'!CB4</f>
        <v>0</v>
      </c>
      <c r="AC3" s="16">
        <f>'Dados Geral'!CC4</f>
        <v>0</v>
      </c>
      <c r="AD3" s="16">
        <f>'Dados Geral'!CD4</f>
        <v>0</v>
      </c>
      <c r="AE3" s="16">
        <f>'Dados Geral'!CE4</f>
        <v>0</v>
      </c>
      <c r="AF3" s="16">
        <f>'Dados Geral'!CF4</f>
        <v>1</v>
      </c>
    </row>
    <row r="4" spans="1:32">
      <c r="A4" s="16" t="str">
        <f>'Dados Geral'!B5</f>
        <v>FAPEAP</v>
      </c>
      <c r="B4" s="16">
        <f>'Dados Geral'!BB5</f>
        <v>0</v>
      </c>
      <c r="C4" s="16">
        <f>'Dados Geral'!BC5</f>
        <v>0</v>
      </c>
      <c r="D4" s="16">
        <f>'Dados Geral'!BD5</f>
        <v>0</v>
      </c>
      <c r="E4" s="16">
        <f>'Dados Geral'!BE5</f>
        <v>0</v>
      </c>
      <c r="F4" s="16">
        <f>'Dados Geral'!BF5</f>
        <v>0</v>
      </c>
      <c r="G4" s="16">
        <f>'Dados Geral'!BG5</f>
        <v>0</v>
      </c>
      <c r="H4" s="16">
        <f>'Dados Geral'!BH5</f>
        <v>1</v>
      </c>
      <c r="I4" s="16">
        <f>'Dados Geral'!BI5</f>
        <v>0</v>
      </c>
      <c r="J4" s="16">
        <f>'Dados Geral'!BJ5</f>
        <v>0</v>
      </c>
      <c r="K4" s="16">
        <f>'Dados Geral'!BK5</f>
        <v>1</v>
      </c>
      <c r="L4" s="16">
        <f>'Dados Geral'!BL5</f>
        <v>1</v>
      </c>
      <c r="M4" s="16">
        <f>'Dados Geral'!BM5</f>
        <v>0</v>
      </c>
      <c r="N4" s="16">
        <f>'Dados Geral'!BN5</f>
        <v>0</v>
      </c>
      <c r="O4" s="16">
        <f>'Dados Geral'!BO5</f>
        <v>1</v>
      </c>
      <c r="P4" s="16">
        <f>'Dados Geral'!BP5</f>
        <v>1</v>
      </c>
      <c r="Q4" s="16">
        <f>'Dados Geral'!BQ5</f>
        <v>1</v>
      </c>
      <c r="R4" s="16">
        <f>'Dados Geral'!BR5</f>
        <v>0</v>
      </c>
      <c r="S4" s="16">
        <f>'Dados Geral'!BS5</f>
        <v>1</v>
      </c>
      <c r="T4" s="16">
        <f>'Dados Geral'!BT5</f>
        <v>1</v>
      </c>
      <c r="U4" s="16">
        <f>'Dados Geral'!BU5</f>
        <v>0</v>
      </c>
      <c r="V4" s="16">
        <f>'Dados Geral'!BV5</f>
        <v>0</v>
      </c>
      <c r="W4" s="16">
        <f>'Dados Geral'!BW5</f>
        <v>1</v>
      </c>
      <c r="X4" s="16">
        <f>'Dados Geral'!BX5</f>
        <v>1</v>
      </c>
      <c r="Y4" s="16">
        <f>'Dados Geral'!BY5</f>
        <v>1</v>
      </c>
      <c r="Z4" s="16">
        <f>'Dados Geral'!BZ5</f>
        <v>1</v>
      </c>
      <c r="AA4" s="16">
        <f>'Dados Geral'!CA5</f>
        <v>0</v>
      </c>
      <c r="AB4" s="16">
        <f>'Dados Geral'!CB5</f>
        <v>1</v>
      </c>
      <c r="AC4" s="16">
        <f>'Dados Geral'!CC5</f>
        <v>0</v>
      </c>
      <c r="AD4" s="16">
        <f>'Dados Geral'!CD5</f>
        <v>1</v>
      </c>
      <c r="AE4" s="16">
        <f>'Dados Geral'!CE5</f>
        <v>0</v>
      </c>
      <c r="AF4" s="16">
        <f>'Dados Geral'!CF5</f>
        <v>0</v>
      </c>
    </row>
    <row r="5" spans="1:32">
      <c r="A5" s="16" t="str">
        <f>'Dados Geral'!B6</f>
        <v>FAPEAM</v>
      </c>
      <c r="B5" s="16">
        <f>'Dados Geral'!BB6</f>
        <v>0</v>
      </c>
      <c r="C5" s="16">
        <f>'Dados Geral'!BC6</f>
        <v>0</v>
      </c>
      <c r="D5" s="16">
        <f>'Dados Geral'!BD6</f>
        <v>0</v>
      </c>
      <c r="E5" s="16">
        <f>'Dados Geral'!BE6</f>
        <v>0</v>
      </c>
      <c r="F5" s="16">
        <f>'Dados Geral'!BF6</f>
        <v>0</v>
      </c>
      <c r="G5" s="16">
        <f>'Dados Geral'!BG6</f>
        <v>0</v>
      </c>
      <c r="H5" s="16">
        <f>'Dados Geral'!BH6</f>
        <v>1</v>
      </c>
      <c r="I5" s="16">
        <f>'Dados Geral'!BI6</f>
        <v>1</v>
      </c>
      <c r="J5" s="16">
        <f>'Dados Geral'!BJ6</f>
        <v>1</v>
      </c>
      <c r="K5" s="16">
        <f>'Dados Geral'!BK6</f>
        <v>0</v>
      </c>
      <c r="L5" s="16">
        <f>'Dados Geral'!BL6</f>
        <v>0</v>
      </c>
      <c r="M5" s="16">
        <f>'Dados Geral'!BM6</f>
        <v>1</v>
      </c>
      <c r="N5" s="16">
        <f>'Dados Geral'!BN6</f>
        <v>1</v>
      </c>
      <c r="O5" s="16">
        <f>'Dados Geral'!BO6</f>
        <v>1</v>
      </c>
      <c r="P5" s="16">
        <f>'Dados Geral'!BP6</f>
        <v>1</v>
      </c>
      <c r="Q5" s="16">
        <f>'Dados Geral'!BQ6</f>
        <v>1</v>
      </c>
      <c r="R5" s="16">
        <f>'Dados Geral'!BR6</f>
        <v>1</v>
      </c>
      <c r="S5" s="16">
        <f>'Dados Geral'!BS6</f>
        <v>0</v>
      </c>
      <c r="T5" s="16">
        <f>'Dados Geral'!BT6</f>
        <v>0</v>
      </c>
      <c r="U5" s="16">
        <f>'Dados Geral'!BU6</f>
        <v>1</v>
      </c>
      <c r="V5" s="16">
        <f>'Dados Geral'!BV6</f>
        <v>1</v>
      </c>
      <c r="W5" s="16">
        <f>'Dados Geral'!BW6</f>
        <v>1</v>
      </c>
      <c r="X5" s="16">
        <f>'Dados Geral'!BX6</f>
        <v>1</v>
      </c>
      <c r="Y5" s="16">
        <f>'Dados Geral'!BY6</f>
        <v>1</v>
      </c>
      <c r="Z5" s="16">
        <f>'Dados Geral'!BZ6</f>
        <v>0</v>
      </c>
      <c r="AA5" s="16">
        <f>'Dados Geral'!CA6</f>
        <v>0</v>
      </c>
      <c r="AB5" s="16">
        <f>'Dados Geral'!CB6</f>
        <v>0</v>
      </c>
      <c r="AC5" s="16">
        <f>'Dados Geral'!CC6</f>
        <v>0</v>
      </c>
      <c r="AD5" s="16">
        <f>'Dados Geral'!CD6</f>
        <v>0</v>
      </c>
      <c r="AE5" s="16">
        <f>'Dados Geral'!CE6</f>
        <v>1</v>
      </c>
      <c r="AF5" s="16">
        <f>'Dados Geral'!CF6</f>
        <v>0</v>
      </c>
    </row>
    <row r="6" spans="1:32">
      <c r="A6" s="16" t="str">
        <f>'Dados Geral'!B7</f>
        <v>FAPESB</v>
      </c>
      <c r="B6" s="16">
        <f>'Dados Geral'!BB7</f>
        <v>0</v>
      </c>
      <c r="C6" s="16">
        <f>'Dados Geral'!BC7</f>
        <v>1</v>
      </c>
      <c r="D6" s="16">
        <f>'Dados Geral'!BD7</f>
        <v>1</v>
      </c>
      <c r="E6" s="16">
        <f>'Dados Geral'!BE7</f>
        <v>1</v>
      </c>
      <c r="F6" s="16">
        <f>'Dados Geral'!BF7</f>
        <v>0</v>
      </c>
      <c r="G6" s="16">
        <f>'Dados Geral'!BG7</f>
        <v>1</v>
      </c>
      <c r="H6" s="16">
        <f>'Dados Geral'!BH7</f>
        <v>1</v>
      </c>
      <c r="I6" s="16">
        <f>'Dados Geral'!BI7</f>
        <v>1</v>
      </c>
      <c r="J6" s="16">
        <f>'Dados Geral'!BJ7</f>
        <v>0</v>
      </c>
      <c r="K6" s="16">
        <f>'Dados Geral'!BK7</f>
        <v>0</v>
      </c>
      <c r="L6" s="16">
        <f>'Dados Geral'!BL7</f>
        <v>0</v>
      </c>
      <c r="M6" s="16">
        <f>'Dados Geral'!BM7</f>
        <v>1</v>
      </c>
      <c r="N6" s="16">
        <f>'Dados Geral'!BN7</f>
        <v>0</v>
      </c>
      <c r="O6" s="16">
        <f>'Dados Geral'!BO7</f>
        <v>0</v>
      </c>
      <c r="P6" s="16">
        <f>'Dados Geral'!BP7</f>
        <v>0</v>
      </c>
      <c r="Q6" s="16">
        <f>'Dados Geral'!BQ7</f>
        <v>1</v>
      </c>
      <c r="R6" s="16">
        <f>'Dados Geral'!BR7</f>
        <v>0</v>
      </c>
      <c r="S6" s="16">
        <f>'Dados Geral'!BS7</f>
        <v>0</v>
      </c>
      <c r="T6" s="16">
        <f>'Dados Geral'!BT7</f>
        <v>0</v>
      </c>
      <c r="U6" s="16">
        <f>'Dados Geral'!BU7</f>
        <v>1</v>
      </c>
      <c r="V6" s="16">
        <f>'Dados Geral'!BV7</f>
        <v>0</v>
      </c>
      <c r="W6" s="16">
        <f>'Dados Geral'!BW7</f>
        <v>0</v>
      </c>
      <c r="X6" s="16">
        <f>'Dados Geral'!BX7</f>
        <v>0</v>
      </c>
      <c r="Y6" s="16">
        <f>'Dados Geral'!BY7</f>
        <v>1</v>
      </c>
      <c r="Z6" s="16">
        <f>'Dados Geral'!BZ7</f>
        <v>1</v>
      </c>
      <c r="AA6" s="16">
        <f>'Dados Geral'!CA7</f>
        <v>1</v>
      </c>
      <c r="AB6" s="16">
        <f>'Dados Geral'!CB7</f>
        <v>0</v>
      </c>
      <c r="AC6" s="16">
        <f>'Dados Geral'!CC7</f>
        <v>1</v>
      </c>
      <c r="AD6" s="16">
        <f>'Dados Geral'!CD7</f>
        <v>1</v>
      </c>
      <c r="AE6" s="16">
        <f>'Dados Geral'!CE7</f>
        <v>0</v>
      </c>
      <c r="AF6" s="16">
        <f>'Dados Geral'!CF7</f>
        <v>1</v>
      </c>
    </row>
    <row r="7" spans="1:32">
      <c r="A7" s="16" t="str">
        <f>'Dados Geral'!B8</f>
        <v>FUNCAP</v>
      </c>
      <c r="B7" s="16">
        <f>'Dados Geral'!BB8</f>
        <v>1</v>
      </c>
      <c r="C7" s="16">
        <f>'Dados Geral'!BC8</f>
        <v>1</v>
      </c>
      <c r="D7" s="16">
        <f>'Dados Geral'!BD8</f>
        <v>1</v>
      </c>
      <c r="E7" s="16">
        <f>'Dados Geral'!BE8</f>
        <v>1</v>
      </c>
      <c r="F7" s="16">
        <f>'Dados Geral'!BF8</f>
        <v>1</v>
      </c>
      <c r="G7" s="16">
        <f>'Dados Geral'!BG8</f>
        <v>1</v>
      </c>
      <c r="H7" s="16">
        <f>'Dados Geral'!BH8</f>
        <v>0</v>
      </c>
      <c r="I7" s="16">
        <f>'Dados Geral'!BI8</f>
        <v>1</v>
      </c>
      <c r="J7" s="16">
        <f>'Dados Geral'!BJ8</f>
        <v>0</v>
      </c>
      <c r="K7" s="16">
        <f>'Dados Geral'!BK8</f>
        <v>0</v>
      </c>
      <c r="L7" s="16">
        <f>'Dados Geral'!BL8</f>
        <v>1</v>
      </c>
      <c r="M7" s="16">
        <f>'Dados Geral'!BM8</f>
        <v>1</v>
      </c>
      <c r="N7" s="16">
        <f>'Dados Geral'!BN8</f>
        <v>0</v>
      </c>
      <c r="O7" s="16">
        <f>'Dados Geral'!BO8</f>
        <v>1</v>
      </c>
      <c r="P7" s="16">
        <f>'Dados Geral'!BP8</f>
        <v>0</v>
      </c>
      <c r="Q7" s="16">
        <f>'Dados Geral'!BQ8</f>
        <v>0</v>
      </c>
      <c r="R7" s="16">
        <f>'Dados Geral'!BR8</f>
        <v>0</v>
      </c>
      <c r="S7" s="16">
        <f>'Dados Geral'!BS8</f>
        <v>0</v>
      </c>
      <c r="T7" s="16">
        <f>'Dados Geral'!BT8</f>
        <v>1</v>
      </c>
      <c r="U7" s="16">
        <f>'Dados Geral'!BU8</f>
        <v>1</v>
      </c>
      <c r="V7" s="16">
        <f>'Dados Geral'!BV8</f>
        <v>0</v>
      </c>
      <c r="W7" s="16">
        <f>'Dados Geral'!BW8</f>
        <v>1</v>
      </c>
      <c r="X7" s="16">
        <f>'Dados Geral'!BX8</f>
        <v>0</v>
      </c>
      <c r="Y7" s="16">
        <f>'Dados Geral'!BY8</f>
        <v>0</v>
      </c>
      <c r="Z7" s="16">
        <f>'Dados Geral'!BZ8</f>
        <v>1</v>
      </c>
      <c r="AA7" s="16">
        <f>'Dados Geral'!CA8</f>
        <v>1</v>
      </c>
      <c r="AB7" s="16">
        <f>'Dados Geral'!CB8</f>
        <v>0</v>
      </c>
      <c r="AC7" s="16">
        <f>'Dados Geral'!CC8</f>
        <v>0</v>
      </c>
      <c r="AD7" s="16">
        <f>'Dados Geral'!CD8</f>
        <v>1</v>
      </c>
      <c r="AE7" s="16">
        <f>'Dados Geral'!CE8</f>
        <v>0</v>
      </c>
      <c r="AF7" s="16">
        <f>'Dados Geral'!CF8</f>
        <v>0</v>
      </c>
    </row>
    <row r="8" spans="1:32">
      <c r="A8" s="16" t="str">
        <f>'Dados Geral'!B9</f>
        <v>FAPDF</v>
      </c>
      <c r="B8" s="16">
        <f>'Dados Geral'!BB9</f>
        <v>1</v>
      </c>
      <c r="C8" s="16">
        <f>'Dados Geral'!BC9</f>
        <v>0</v>
      </c>
      <c r="D8" s="16">
        <f>'Dados Geral'!BD9</f>
        <v>1</v>
      </c>
      <c r="E8" s="16">
        <f>'Dados Geral'!BE9</f>
        <v>1</v>
      </c>
      <c r="F8" s="16">
        <f>'Dados Geral'!BF9</f>
        <v>1</v>
      </c>
      <c r="G8" s="16">
        <f>'Dados Geral'!BG9</f>
        <v>1</v>
      </c>
      <c r="H8" s="16">
        <f>'Dados Geral'!BH9</f>
        <v>1</v>
      </c>
      <c r="I8" s="16">
        <f>'Dados Geral'!BI9</f>
        <v>1</v>
      </c>
      <c r="J8" s="16">
        <f>'Dados Geral'!BJ9</f>
        <v>1</v>
      </c>
      <c r="K8" s="16">
        <f>'Dados Geral'!BK9</f>
        <v>1</v>
      </c>
      <c r="L8" s="16">
        <f>'Dados Geral'!BL9</f>
        <v>1</v>
      </c>
      <c r="M8" s="16">
        <f>'Dados Geral'!BM9</f>
        <v>1</v>
      </c>
      <c r="N8" s="16">
        <f>'Dados Geral'!BN9</f>
        <v>1</v>
      </c>
      <c r="O8" s="16">
        <f>'Dados Geral'!BO9</f>
        <v>1</v>
      </c>
      <c r="P8" s="16">
        <f>'Dados Geral'!BP9</f>
        <v>0</v>
      </c>
      <c r="Q8" s="16">
        <f>'Dados Geral'!BQ9</f>
        <v>1</v>
      </c>
      <c r="R8" s="16">
        <f>'Dados Geral'!BR9</f>
        <v>1</v>
      </c>
      <c r="S8" s="16">
        <f>'Dados Geral'!BS9</f>
        <v>1</v>
      </c>
      <c r="T8" s="16">
        <f>'Dados Geral'!BT9</f>
        <v>1</v>
      </c>
      <c r="U8" s="16">
        <f>'Dados Geral'!BU9</f>
        <v>1</v>
      </c>
      <c r="V8" s="16">
        <f>'Dados Geral'!BV9</f>
        <v>1</v>
      </c>
      <c r="W8" s="16">
        <f>'Dados Geral'!BW9</f>
        <v>1</v>
      </c>
      <c r="X8" s="16">
        <f>'Dados Geral'!BX9</f>
        <v>0</v>
      </c>
      <c r="Y8" s="16">
        <f>'Dados Geral'!BY9</f>
        <v>1</v>
      </c>
      <c r="Z8" s="16">
        <f>'Dados Geral'!BZ9</f>
        <v>1</v>
      </c>
      <c r="AA8" s="16">
        <f>'Dados Geral'!CA9</f>
        <v>0</v>
      </c>
      <c r="AB8" s="16">
        <f>'Dados Geral'!CB9</f>
        <v>1</v>
      </c>
      <c r="AC8" s="16">
        <f>'Dados Geral'!CC9</f>
        <v>1</v>
      </c>
      <c r="AD8" s="16">
        <f>'Dados Geral'!CD9</f>
        <v>0</v>
      </c>
      <c r="AE8" s="16">
        <f>'Dados Geral'!CE9</f>
        <v>0</v>
      </c>
      <c r="AF8" s="16">
        <f>'Dados Geral'!CF9</f>
        <v>1</v>
      </c>
    </row>
    <row r="9" spans="1:32">
      <c r="A9" s="16" t="str">
        <f>'Dados Geral'!B10</f>
        <v>FAPES</v>
      </c>
      <c r="B9" s="16">
        <f>'Dados Geral'!BB10</f>
        <v>0</v>
      </c>
      <c r="C9" s="16">
        <f>'Dados Geral'!BC10</f>
        <v>1</v>
      </c>
      <c r="D9" s="16">
        <f>'Dados Geral'!BD10</f>
        <v>1</v>
      </c>
      <c r="E9" s="16">
        <f>'Dados Geral'!BE10</f>
        <v>0</v>
      </c>
      <c r="F9" s="16">
        <f>'Dados Geral'!BF10</f>
        <v>0</v>
      </c>
      <c r="G9" s="16">
        <f>'Dados Geral'!BG10</f>
        <v>1</v>
      </c>
      <c r="H9" s="16">
        <f>'Dados Geral'!BH10</f>
        <v>0</v>
      </c>
      <c r="I9" s="16">
        <f>'Dados Geral'!BI10</f>
        <v>1</v>
      </c>
      <c r="J9" s="16">
        <f>'Dados Geral'!BJ10</f>
        <v>0</v>
      </c>
      <c r="K9" s="16">
        <f>'Dados Geral'!BK10</f>
        <v>1</v>
      </c>
      <c r="L9" s="16">
        <f>'Dados Geral'!BL10</f>
        <v>0</v>
      </c>
      <c r="M9" s="16">
        <f>'Dados Geral'!BM10</f>
        <v>1</v>
      </c>
      <c r="N9" s="16">
        <f>'Dados Geral'!BN10</f>
        <v>0</v>
      </c>
      <c r="O9" s="16">
        <f>'Dados Geral'!BO10</f>
        <v>0</v>
      </c>
      <c r="P9" s="16">
        <f>'Dados Geral'!BP10</f>
        <v>1</v>
      </c>
      <c r="Q9" s="16">
        <f>'Dados Geral'!BQ10</f>
        <v>0</v>
      </c>
      <c r="R9" s="16">
        <f>'Dados Geral'!BR10</f>
        <v>0</v>
      </c>
      <c r="S9" s="16">
        <f>'Dados Geral'!BS10</f>
        <v>1</v>
      </c>
      <c r="T9" s="16">
        <f>'Dados Geral'!BT10</f>
        <v>0</v>
      </c>
      <c r="U9" s="16">
        <f>'Dados Geral'!BU10</f>
        <v>1</v>
      </c>
      <c r="V9" s="16">
        <f>'Dados Geral'!BV10</f>
        <v>0</v>
      </c>
      <c r="W9" s="16">
        <f>'Dados Geral'!BW10</f>
        <v>0</v>
      </c>
      <c r="X9" s="16">
        <f>'Dados Geral'!BX10</f>
        <v>1</v>
      </c>
      <c r="Y9" s="16">
        <f>'Dados Geral'!BY10</f>
        <v>0</v>
      </c>
      <c r="Z9" s="16">
        <f>'Dados Geral'!BZ10</f>
        <v>0</v>
      </c>
      <c r="AA9" s="16">
        <f>'Dados Geral'!CA10</f>
        <v>0</v>
      </c>
      <c r="AB9" s="16">
        <f>'Dados Geral'!CB10</f>
        <v>0</v>
      </c>
      <c r="AC9" s="16">
        <f>'Dados Geral'!CC10</f>
        <v>0</v>
      </c>
      <c r="AD9" s="16">
        <f>'Dados Geral'!CD10</f>
        <v>1</v>
      </c>
      <c r="AE9" s="16">
        <f>'Dados Geral'!CE10</f>
        <v>1</v>
      </c>
      <c r="AF9" s="16">
        <f>'Dados Geral'!CF10</f>
        <v>1</v>
      </c>
    </row>
    <row r="10" spans="1:32">
      <c r="A10" s="16" t="str">
        <f>'Dados Geral'!B11</f>
        <v>FAPEG</v>
      </c>
      <c r="B10" s="16">
        <f>'Dados Geral'!BB11</f>
        <v>1</v>
      </c>
      <c r="C10" s="16">
        <f>'Dados Geral'!BC11</f>
        <v>0</v>
      </c>
      <c r="D10" s="16">
        <f>'Dados Geral'!BD11</f>
        <v>1</v>
      </c>
      <c r="E10" s="16">
        <f>'Dados Geral'!BE11</f>
        <v>1</v>
      </c>
      <c r="F10" s="16">
        <f>'Dados Geral'!BF11</f>
        <v>0</v>
      </c>
      <c r="G10" s="16">
        <f>'Dados Geral'!BG11</f>
        <v>1</v>
      </c>
      <c r="H10" s="16">
        <f>'Dados Geral'!BH11</f>
        <v>1</v>
      </c>
      <c r="I10" s="16">
        <f>'Dados Geral'!BI11</f>
        <v>0</v>
      </c>
      <c r="J10" s="16">
        <f>'Dados Geral'!BJ11</f>
        <v>1</v>
      </c>
      <c r="K10" s="16">
        <f>'Dados Geral'!BK11</f>
        <v>0</v>
      </c>
      <c r="L10" s="16">
        <f>'Dados Geral'!BL11</f>
        <v>1</v>
      </c>
      <c r="M10" s="16">
        <f>'Dados Geral'!BM11</f>
        <v>0</v>
      </c>
      <c r="N10" s="16">
        <f>'Dados Geral'!BN11</f>
        <v>0</v>
      </c>
      <c r="O10" s="16">
        <f>'Dados Geral'!BO11</f>
        <v>1</v>
      </c>
      <c r="P10" s="16">
        <f>'Dados Geral'!BP11</f>
        <v>1</v>
      </c>
      <c r="Q10" s="16">
        <f>'Dados Geral'!BQ11</f>
        <v>1</v>
      </c>
      <c r="R10" s="16">
        <f>'Dados Geral'!BR11</f>
        <v>1</v>
      </c>
      <c r="S10" s="16">
        <f>'Dados Geral'!BS11</f>
        <v>0</v>
      </c>
      <c r="T10" s="16">
        <f>'Dados Geral'!BT11</f>
        <v>1</v>
      </c>
      <c r="U10" s="16">
        <f>'Dados Geral'!BU11</f>
        <v>0</v>
      </c>
      <c r="V10" s="16">
        <f>'Dados Geral'!BV11</f>
        <v>0</v>
      </c>
      <c r="W10" s="16">
        <f>'Dados Geral'!BW11</f>
        <v>1</v>
      </c>
      <c r="X10" s="16">
        <f>'Dados Geral'!BX11</f>
        <v>1</v>
      </c>
      <c r="Y10" s="16">
        <f>'Dados Geral'!BY11</f>
        <v>1</v>
      </c>
      <c r="Z10" s="16">
        <f>'Dados Geral'!BZ11</f>
        <v>0</v>
      </c>
      <c r="AA10" s="16">
        <f>'Dados Geral'!CA11</f>
        <v>1</v>
      </c>
      <c r="AB10" s="16">
        <f>'Dados Geral'!CB11</f>
        <v>0</v>
      </c>
      <c r="AC10" s="16">
        <f>'Dados Geral'!CC11</f>
        <v>1</v>
      </c>
      <c r="AD10" s="16">
        <f>'Dados Geral'!CD11</f>
        <v>0</v>
      </c>
      <c r="AE10" s="16">
        <f>'Dados Geral'!CE11</f>
        <v>1</v>
      </c>
      <c r="AF10" s="16">
        <f>'Dados Geral'!CF11</f>
        <v>0</v>
      </c>
    </row>
    <row r="11" spans="1:32">
      <c r="A11" s="16" t="str">
        <f>'Dados Geral'!B12</f>
        <v>FAPEMA</v>
      </c>
      <c r="B11" s="16">
        <f>'Dados Geral'!BB12</f>
        <v>0</v>
      </c>
      <c r="C11" s="16">
        <f>'Dados Geral'!BC12</f>
        <v>1</v>
      </c>
      <c r="D11" s="16">
        <f>'Dados Geral'!BD12</f>
        <v>1</v>
      </c>
      <c r="E11" s="16">
        <f>'Dados Geral'!BE12</f>
        <v>1</v>
      </c>
      <c r="F11" s="16">
        <f>'Dados Geral'!BF12</f>
        <v>1</v>
      </c>
      <c r="G11" s="16">
        <f>'Dados Geral'!BG12</f>
        <v>1</v>
      </c>
      <c r="H11" s="16">
        <f>'Dados Geral'!BH12</f>
        <v>1</v>
      </c>
      <c r="I11" s="16">
        <f>'Dados Geral'!BI12</f>
        <v>0</v>
      </c>
      <c r="J11" s="16">
        <f>'Dados Geral'!BJ12</f>
        <v>0</v>
      </c>
      <c r="K11" s="16">
        <f>'Dados Geral'!BK12</f>
        <v>1</v>
      </c>
      <c r="L11" s="16">
        <f>'Dados Geral'!BL12</f>
        <v>1</v>
      </c>
      <c r="M11" s="16">
        <f>'Dados Geral'!BM12</f>
        <v>1</v>
      </c>
      <c r="N11" s="16">
        <f>'Dados Geral'!BN12</f>
        <v>0</v>
      </c>
      <c r="O11" s="16">
        <f>'Dados Geral'!BO12</f>
        <v>1</v>
      </c>
      <c r="P11" s="16">
        <f>'Dados Geral'!BP12</f>
        <v>0</v>
      </c>
      <c r="Q11" s="16">
        <f>'Dados Geral'!BQ12</f>
        <v>1</v>
      </c>
      <c r="R11" s="16">
        <f>'Dados Geral'!BR12</f>
        <v>0</v>
      </c>
      <c r="S11" s="16">
        <f>'Dados Geral'!BS12</f>
        <v>1</v>
      </c>
      <c r="T11" s="16">
        <f>'Dados Geral'!BT12</f>
        <v>1</v>
      </c>
      <c r="U11" s="16">
        <f>'Dados Geral'!BU12</f>
        <v>1</v>
      </c>
      <c r="V11" s="16">
        <f>'Dados Geral'!BV12</f>
        <v>0</v>
      </c>
      <c r="W11" s="16">
        <f>'Dados Geral'!BW12</f>
        <v>1</v>
      </c>
      <c r="X11" s="16">
        <f>'Dados Geral'!BX12</f>
        <v>0</v>
      </c>
      <c r="Y11" s="16">
        <f>'Dados Geral'!BY12</f>
        <v>1</v>
      </c>
      <c r="Z11" s="16">
        <f>'Dados Geral'!BZ12</f>
        <v>1</v>
      </c>
      <c r="AA11" s="16">
        <f>'Dados Geral'!CA12</f>
        <v>0</v>
      </c>
      <c r="AB11" s="16">
        <f>'Dados Geral'!CB12</f>
        <v>0</v>
      </c>
      <c r="AC11" s="16">
        <f>'Dados Geral'!CC12</f>
        <v>0</v>
      </c>
      <c r="AD11" s="16">
        <f>'Dados Geral'!CD12</f>
        <v>1</v>
      </c>
      <c r="AE11" s="16">
        <f>'Dados Geral'!CE12</f>
        <v>1</v>
      </c>
      <c r="AF11" s="16">
        <f>'Dados Geral'!CF12</f>
        <v>0</v>
      </c>
    </row>
    <row r="12" spans="1:32">
      <c r="A12" s="16" t="str">
        <f>'Dados Geral'!B13</f>
        <v>FAPEMAT</v>
      </c>
      <c r="B12" s="16">
        <f>'Dados Geral'!BB13</f>
        <v>1</v>
      </c>
      <c r="C12" s="16">
        <f>'Dados Geral'!BC13</f>
        <v>0</v>
      </c>
      <c r="D12" s="16">
        <f>'Dados Geral'!BD13</f>
        <v>1</v>
      </c>
      <c r="E12" s="16">
        <f>'Dados Geral'!BE13</f>
        <v>1</v>
      </c>
      <c r="F12" s="16">
        <f>'Dados Geral'!BF13</f>
        <v>1</v>
      </c>
      <c r="G12" s="16">
        <f>'Dados Geral'!BG13</f>
        <v>1</v>
      </c>
      <c r="H12" s="16">
        <f>'Dados Geral'!BH13</f>
        <v>0</v>
      </c>
      <c r="I12" s="16">
        <f>'Dados Geral'!BI13</f>
        <v>1</v>
      </c>
      <c r="J12" s="16">
        <f>'Dados Geral'!BJ13</f>
        <v>1</v>
      </c>
      <c r="K12" s="16">
        <f>'Dados Geral'!BK13</f>
        <v>1</v>
      </c>
      <c r="L12" s="16">
        <f>'Dados Geral'!BL13</f>
        <v>1</v>
      </c>
      <c r="M12" s="16">
        <f>'Dados Geral'!BM13</f>
        <v>0</v>
      </c>
      <c r="N12" s="16">
        <f>'Dados Geral'!BN13</f>
        <v>1</v>
      </c>
      <c r="O12" s="16">
        <f>'Dados Geral'!BO13</f>
        <v>0</v>
      </c>
      <c r="P12" s="16">
        <f>'Dados Geral'!BP13</f>
        <v>0</v>
      </c>
      <c r="Q12" s="16">
        <f>'Dados Geral'!BQ13</f>
        <v>0</v>
      </c>
      <c r="R12" s="16">
        <f>'Dados Geral'!BR13</f>
        <v>1</v>
      </c>
      <c r="S12" s="16">
        <f>'Dados Geral'!BS13</f>
        <v>0</v>
      </c>
      <c r="T12" s="16">
        <f>'Dados Geral'!BT13</f>
        <v>1</v>
      </c>
      <c r="U12" s="16">
        <f>'Dados Geral'!BU13</f>
        <v>0</v>
      </c>
      <c r="V12" s="16">
        <f>'Dados Geral'!BV13</f>
        <v>1</v>
      </c>
      <c r="W12" s="16">
        <f>'Dados Geral'!BW13</f>
        <v>0</v>
      </c>
      <c r="X12" s="16">
        <f>'Dados Geral'!BX13</f>
        <v>0</v>
      </c>
      <c r="Y12" s="16">
        <f>'Dados Geral'!BY13</f>
        <v>0</v>
      </c>
      <c r="Z12" s="16">
        <f>'Dados Geral'!BZ13</f>
        <v>0</v>
      </c>
      <c r="AA12" s="16">
        <f>'Dados Geral'!CA13</f>
        <v>1</v>
      </c>
      <c r="AB12" s="16">
        <f>'Dados Geral'!CB13</f>
        <v>0</v>
      </c>
      <c r="AC12" s="16">
        <f>'Dados Geral'!CC13</f>
        <v>1</v>
      </c>
      <c r="AD12" s="16">
        <f>'Dados Geral'!CD13</f>
        <v>0</v>
      </c>
      <c r="AE12" s="16">
        <f>'Dados Geral'!CE13</f>
        <v>1</v>
      </c>
      <c r="AF12" s="16">
        <f>'Dados Geral'!CF13</f>
        <v>0</v>
      </c>
    </row>
    <row r="13" spans="1:32">
      <c r="A13" s="16" t="str">
        <f>'Dados Geral'!B14</f>
        <v>FUNDECT</v>
      </c>
      <c r="B13" s="16">
        <f>'Dados Geral'!BB14</f>
        <v>0</v>
      </c>
      <c r="C13" s="16">
        <f>'Dados Geral'!BC14</f>
        <v>1</v>
      </c>
      <c r="D13" s="16">
        <f>'Dados Geral'!BD14</f>
        <v>1</v>
      </c>
      <c r="E13" s="16">
        <f>'Dados Geral'!BE14</f>
        <v>0</v>
      </c>
      <c r="F13" s="16">
        <f>'Dados Geral'!BF14</f>
        <v>1</v>
      </c>
      <c r="G13" s="16">
        <f>'Dados Geral'!BG14</f>
        <v>1</v>
      </c>
      <c r="H13" s="16">
        <f>'Dados Geral'!BH14</f>
        <v>1</v>
      </c>
      <c r="I13" s="16">
        <f>'Dados Geral'!BI14</f>
        <v>1</v>
      </c>
      <c r="J13" s="16">
        <f>'Dados Geral'!BJ14</f>
        <v>0</v>
      </c>
      <c r="K13" s="16">
        <f>'Dados Geral'!BK14</f>
        <v>1</v>
      </c>
      <c r="L13" s="16">
        <f>'Dados Geral'!BL14</f>
        <v>1</v>
      </c>
      <c r="M13" s="16">
        <f>'Dados Geral'!BM14</f>
        <v>0</v>
      </c>
      <c r="N13" s="16">
        <f>'Dados Geral'!BN14</f>
        <v>1</v>
      </c>
      <c r="O13" s="16">
        <f>'Dados Geral'!BO14</f>
        <v>0</v>
      </c>
      <c r="P13" s="16">
        <f>'Dados Geral'!BP14</f>
        <v>0</v>
      </c>
      <c r="Q13" s="16">
        <f>'Dados Geral'!BQ14</f>
        <v>1</v>
      </c>
      <c r="R13" s="16">
        <f>'Dados Geral'!BR14</f>
        <v>0</v>
      </c>
      <c r="S13" s="16">
        <f>'Dados Geral'!BS14</f>
        <v>1</v>
      </c>
      <c r="T13" s="16">
        <f>'Dados Geral'!BT14</f>
        <v>1</v>
      </c>
      <c r="U13" s="16">
        <f>'Dados Geral'!BU14</f>
        <v>0</v>
      </c>
      <c r="V13" s="16">
        <f>'Dados Geral'!BV14</f>
        <v>1</v>
      </c>
      <c r="W13" s="16">
        <f>'Dados Geral'!BW14</f>
        <v>0</v>
      </c>
      <c r="X13" s="16">
        <f>'Dados Geral'!BX14</f>
        <v>0</v>
      </c>
      <c r="Y13" s="16">
        <f>'Dados Geral'!BY14</f>
        <v>1</v>
      </c>
      <c r="Z13" s="16">
        <f>'Dados Geral'!BZ14</f>
        <v>0</v>
      </c>
      <c r="AA13" s="16">
        <f>'Dados Geral'!CA14</f>
        <v>1</v>
      </c>
      <c r="AB13" s="16">
        <f>'Dados Geral'!CB14</f>
        <v>1</v>
      </c>
      <c r="AC13" s="16">
        <f>'Dados Geral'!CC14</f>
        <v>0</v>
      </c>
      <c r="AD13" s="16">
        <f>'Dados Geral'!CD14</f>
        <v>0</v>
      </c>
      <c r="AE13" s="16">
        <f>'Dados Geral'!CE14</f>
        <v>1</v>
      </c>
      <c r="AF13" s="16">
        <f>'Dados Geral'!CF14</f>
        <v>0</v>
      </c>
    </row>
    <row r="14" spans="1:32">
      <c r="A14" s="16" t="str">
        <f>'Dados Geral'!B15</f>
        <v>FAPEMIG</v>
      </c>
      <c r="B14" s="16">
        <f>'Dados Geral'!BB15</f>
        <v>0</v>
      </c>
      <c r="C14" s="16">
        <f>'Dados Geral'!BC15</f>
        <v>1</v>
      </c>
      <c r="D14" s="16">
        <f>'Dados Geral'!BD15</f>
        <v>1</v>
      </c>
      <c r="E14" s="16">
        <f>'Dados Geral'!BE15</f>
        <v>1</v>
      </c>
      <c r="F14" s="16">
        <f>'Dados Geral'!BF15</f>
        <v>0</v>
      </c>
      <c r="G14" s="16">
        <f>'Dados Geral'!BG15</f>
        <v>1</v>
      </c>
      <c r="H14" s="16">
        <f>'Dados Geral'!BH15</f>
        <v>0</v>
      </c>
      <c r="I14" s="16">
        <f>'Dados Geral'!BI15</f>
        <v>0</v>
      </c>
      <c r="J14" s="16">
        <f>'Dados Geral'!BJ15</f>
        <v>0</v>
      </c>
      <c r="K14" s="16">
        <f>'Dados Geral'!BK15</f>
        <v>0</v>
      </c>
      <c r="L14" s="16">
        <f>'Dados Geral'!BL15</f>
        <v>1</v>
      </c>
      <c r="M14" s="16">
        <f>'Dados Geral'!BM15</f>
        <v>1</v>
      </c>
      <c r="N14" s="16">
        <f>'Dados Geral'!BN15</f>
        <v>0</v>
      </c>
      <c r="O14" s="16">
        <f>'Dados Geral'!BO15</f>
        <v>1</v>
      </c>
      <c r="P14" s="16">
        <f>'Dados Geral'!BP15</f>
        <v>0</v>
      </c>
      <c r="Q14" s="16">
        <f>'Dados Geral'!BQ15</f>
        <v>0</v>
      </c>
      <c r="R14" s="16">
        <f>'Dados Geral'!BR15</f>
        <v>0</v>
      </c>
      <c r="S14" s="16">
        <f>'Dados Geral'!BS15</f>
        <v>0</v>
      </c>
      <c r="T14" s="16">
        <f>'Dados Geral'!BT15</f>
        <v>1</v>
      </c>
      <c r="U14" s="16">
        <f>'Dados Geral'!BU15</f>
        <v>1</v>
      </c>
      <c r="V14" s="16">
        <f>'Dados Geral'!BV15</f>
        <v>0</v>
      </c>
      <c r="W14" s="16">
        <f>'Dados Geral'!BW15</f>
        <v>1</v>
      </c>
      <c r="X14" s="16">
        <f>'Dados Geral'!BX15</f>
        <v>0</v>
      </c>
      <c r="Y14" s="16">
        <f>'Dados Geral'!BY15</f>
        <v>0</v>
      </c>
      <c r="Z14" s="16">
        <f>'Dados Geral'!BZ15</f>
        <v>1</v>
      </c>
      <c r="AA14" s="16">
        <f>'Dados Geral'!CA15</f>
        <v>1</v>
      </c>
      <c r="AB14" s="16">
        <f>'Dados Geral'!CB15</f>
        <v>0</v>
      </c>
      <c r="AC14" s="16">
        <f>'Dados Geral'!CC15</f>
        <v>1</v>
      </c>
      <c r="AD14" s="16">
        <f>'Dados Geral'!CD15</f>
        <v>0</v>
      </c>
      <c r="AE14" s="16">
        <f>'Dados Geral'!CE15</f>
        <v>1</v>
      </c>
      <c r="AF14" s="16">
        <f>'Dados Geral'!CF15</f>
        <v>1</v>
      </c>
    </row>
    <row r="15" spans="1:32">
      <c r="A15" s="16" t="str">
        <f>'Dados Geral'!B16</f>
        <v>FAPESPA</v>
      </c>
      <c r="B15" s="16">
        <f>'Dados Geral'!BB16</f>
        <v>0</v>
      </c>
      <c r="C15" s="16">
        <f>'Dados Geral'!BC16</f>
        <v>0</v>
      </c>
      <c r="D15" s="16">
        <f>'Dados Geral'!BD16</f>
        <v>1</v>
      </c>
      <c r="E15" s="16">
        <f>'Dados Geral'!BE16</f>
        <v>1</v>
      </c>
      <c r="F15" s="16">
        <f>'Dados Geral'!BF16</f>
        <v>1</v>
      </c>
      <c r="G15" s="16">
        <f>'Dados Geral'!BG16</f>
        <v>1</v>
      </c>
      <c r="H15" s="16">
        <f>'Dados Geral'!BH16</f>
        <v>1</v>
      </c>
      <c r="I15" s="16">
        <f>'Dados Geral'!BI16</f>
        <v>1</v>
      </c>
      <c r="J15" s="16">
        <f>'Dados Geral'!BJ16</f>
        <v>0</v>
      </c>
      <c r="K15" s="16">
        <f>'Dados Geral'!BK16</f>
        <v>1</v>
      </c>
      <c r="L15" s="16">
        <f>'Dados Geral'!BL16</f>
        <v>0</v>
      </c>
      <c r="M15" s="16">
        <f>'Dados Geral'!BM16</f>
        <v>0</v>
      </c>
      <c r="N15" s="16">
        <f>'Dados Geral'!BN16</f>
        <v>1</v>
      </c>
      <c r="O15" s="16">
        <f>'Dados Geral'!BO16</f>
        <v>1</v>
      </c>
      <c r="P15" s="16">
        <f>'Dados Geral'!BP16</f>
        <v>0</v>
      </c>
      <c r="Q15" s="16">
        <f>'Dados Geral'!BQ16</f>
        <v>1</v>
      </c>
      <c r="R15" s="16">
        <f>'Dados Geral'!BR16</f>
        <v>0</v>
      </c>
      <c r="S15" s="16">
        <f>'Dados Geral'!BS16</f>
        <v>1</v>
      </c>
      <c r="T15" s="16">
        <f>'Dados Geral'!BT16</f>
        <v>0</v>
      </c>
      <c r="U15" s="16">
        <f>'Dados Geral'!BU16</f>
        <v>0</v>
      </c>
      <c r="V15" s="16">
        <f>'Dados Geral'!BV16</f>
        <v>1</v>
      </c>
      <c r="W15" s="16">
        <f>'Dados Geral'!BW16</f>
        <v>1</v>
      </c>
      <c r="X15" s="16">
        <f>'Dados Geral'!BX16</f>
        <v>0</v>
      </c>
      <c r="Y15" s="16">
        <f>'Dados Geral'!BY16</f>
        <v>1</v>
      </c>
      <c r="Z15" s="16">
        <f>'Dados Geral'!BZ16</f>
        <v>1</v>
      </c>
      <c r="AA15" s="16">
        <f>'Dados Geral'!CA16</f>
        <v>1</v>
      </c>
      <c r="AB15" s="16">
        <f>'Dados Geral'!CB16</f>
        <v>0</v>
      </c>
      <c r="AC15" s="16">
        <f>'Dados Geral'!CC16</f>
        <v>0</v>
      </c>
      <c r="AD15" s="16">
        <f>'Dados Geral'!CD16</f>
        <v>0</v>
      </c>
      <c r="AE15" s="16">
        <f>'Dados Geral'!CE16</f>
        <v>0</v>
      </c>
      <c r="AF15" s="16">
        <f>'Dados Geral'!CF16</f>
        <v>1</v>
      </c>
    </row>
    <row r="16" spans="1:32">
      <c r="A16" s="16" t="str">
        <f>'Dados Geral'!B17</f>
        <v>FAPESQ</v>
      </c>
      <c r="B16" s="16">
        <f>'Dados Geral'!BB17</f>
        <v>0</v>
      </c>
      <c r="C16" s="16">
        <f>'Dados Geral'!BC17</f>
        <v>0</v>
      </c>
      <c r="D16" s="16">
        <f>'Dados Geral'!BD17</f>
        <v>1</v>
      </c>
      <c r="E16" s="16">
        <f>'Dados Geral'!BE17</f>
        <v>1</v>
      </c>
      <c r="F16" s="16">
        <f>'Dados Geral'!BF17</f>
        <v>0</v>
      </c>
      <c r="G16" s="16">
        <f>'Dados Geral'!BG17</f>
        <v>1</v>
      </c>
      <c r="H16" s="16">
        <f>'Dados Geral'!BH17</f>
        <v>1</v>
      </c>
      <c r="I16" s="16">
        <f>'Dados Geral'!BI17</f>
        <v>1</v>
      </c>
      <c r="J16" s="16">
        <f>'Dados Geral'!BJ17</f>
        <v>1</v>
      </c>
      <c r="K16" s="16">
        <f>'Dados Geral'!BK17</f>
        <v>1</v>
      </c>
      <c r="L16" s="16">
        <f>'Dados Geral'!BL17</f>
        <v>0</v>
      </c>
      <c r="M16" s="16">
        <f>'Dados Geral'!BM17</f>
        <v>0</v>
      </c>
      <c r="N16" s="16">
        <f>'Dados Geral'!BN17</f>
        <v>0</v>
      </c>
      <c r="O16" s="16">
        <f>'Dados Geral'!BO17</f>
        <v>1</v>
      </c>
      <c r="P16" s="16">
        <f>'Dados Geral'!BP17</f>
        <v>0</v>
      </c>
      <c r="Q16" s="16">
        <f>'Dados Geral'!BQ17</f>
        <v>1</v>
      </c>
      <c r="R16" s="16">
        <f>'Dados Geral'!BR17</f>
        <v>1</v>
      </c>
      <c r="S16" s="16">
        <f>'Dados Geral'!BS17</f>
        <v>1</v>
      </c>
      <c r="T16" s="16">
        <f>'Dados Geral'!BT17</f>
        <v>0</v>
      </c>
      <c r="U16" s="16">
        <f>'Dados Geral'!BU17</f>
        <v>0</v>
      </c>
      <c r="V16" s="16">
        <f>'Dados Geral'!BV17</f>
        <v>0</v>
      </c>
      <c r="W16" s="16">
        <f>'Dados Geral'!BW17</f>
        <v>1</v>
      </c>
      <c r="X16" s="16">
        <f>'Dados Geral'!BX17</f>
        <v>0</v>
      </c>
      <c r="Y16" s="16">
        <f>'Dados Geral'!BY17</f>
        <v>1</v>
      </c>
      <c r="Z16" s="16">
        <f>'Dados Geral'!BZ17</f>
        <v>0</v>
      </c>
      <c r="AA16" s="16">
        <f>'Dados Geral'!CA17</f>
        <v>1</v>
      </c>
      <c r="AB16" s="16">
        <f>'Dados Geral'!CB17</f>
        <v>0</v>
      </c>
      <c r="AC16" s="16">
        <f>'Dados Geral'!CC17</f>
        <v>1</v>
      </c>
      <c r="AD16" s="16">
        <f>'Dados Geral'!CD17</f>
        <v>0</v>
      </c>
      <c r="AE16" s="16">
        <f>'Dados Geral'!CE17</f>
        <v>0</v>
      </c>
      <c r="AF16" s="16">
        <f>'Dados Geral'!CF17</f>
        <v>0</v>
      </c>
    </row>
    <row r="17" spans="1:32">
      <c r="A17" s="16" t="str">
        <f>'Dados Geral'!B18</f>
        <v>FA</v>
      </c>
      <c r="B17" s="16">
        <f>'Dados Geral'!BB18</f>
        <v>0</v>
      </c>
      <c r="C17" s="16">
        <f>'Dados Geral'!BC18</f>
        <v>0</v>
      </c>
      <c r="D17" s="16">
        <f>'Dados Geral'!BD18</f>
        <v>1</v>
      </c>
      <c r="E17" s="16">
        <f>'Dados Geral'!BE18</f>
        <v>0</v>
      </c>
      <c r="F17" s="16">
        <f>'Dados Geral'!BF18</f>
        <v>1</v>
      </c>
      <c r="G17" s="16">
        <f>'Dados Geral'!BG18</f>
        <v>1</v>
      </c>
      <c r="H17" s="16">
        <f>'Dados Geral'!BH18</f>
        <v>1</v>
      </c>
      <c r="I17" s="16">
        <f>'Dados Geral'!BI18</f>
        <v>0</v>
      </c>
      <c r="J17" s="16">
        <f>'Dados Geral'!BJ18</f>
        <v>0</v>
      </c>
      <c r="K17" s="16">
        <f>'Dados Geral'!BK18</f>
        <v>1</v>
      </c>
      <c r="L17" s="16">
        <f>'Dados Geral'!BL18</f>
        <v>0</v>
      </c>
      <c r="M17" s="16">
        <f>'Dados Geral'!BM18</f>
        <v>1</v>
      </c>
      <c r="N17" s="16">
        <f>'Dados Geral'!BN18</f>
        <v>1</v>
      </c>
      <c r="O17" s="16">
        <f>'Dados Geral'!BO18</f>
        <v>1</v>
      </c>
      <c r="P17" s="16">
        <f>'Dados Geral'!BP18</f>
        <v>0</v>
      </c>
      <c r="Q17" s="16">
        <f>'Dados Geral'!BQ18</f>
        <v>1</v>
      </c>
      <c r="R17" s="16">
        <f>'Dados Geral'!BR18</f>
        <v>0</v>
      </c>
      <c r="S17" s="16">
        <f>'Dados Geral'!BS18</f>
        <v>1</v>
      </c>
      <c r="T17" s="16">
        <f>'Dados Geral'!BT18</f>
        <v>0</v>
      </c>
      <c r="U17" s="16">
        <f>'Dados Geral'!BU18</f>
        <v>1</v>
      </c>
      <c r="V17" s="16">
        <f>'Dados Geral'!BV18</f>
        <v>1</v>
      </c>
      <c r="W17" s="16">
        <f>'Dados Geral'!BW18</f>
        <v>1</v>
      </c>
      <c r="X17" s="16">
        <f>'Dados Geral'!BX18</f>
        <v>0</v>
      </c>
      <c r="Y17" s="16">
        <f>'Dados Geral'!BY18</f>
        <v>1</v>
      </c>
      <c r="Z17" s="16">
        <f>'Dados Geral'!BZ18</f>
        <v>0</v>
      </c>
      <c r="AA17" s="16">
        <f>'Dados Geral'!CA18</f>
        <v>0</v>
      </c>
      <c r="AB17" s="16">
        <f>'Dados Geral'!CB18</f>
        <v>1</v>
      </c>
      <c r="AC17" s="16">
        <f>'Dados Geral'!CC18</f>
        <v>1</v>
      </c>
      <c r="AD17" s="16">
        <f>'Dados Geral'!CD18</f>
        <v>0</v>
      </c>
      <c r="AE17" s="16">
        <f>'Dados Geral'!CE18</f>
        <v>0</v>
      </c>
      <c r="AF17" s="16">
        <f>'Dados Geral'!CF18</f>
        <v>0</v>
      </c>
    </row>
    <row r="18" spans="1:32">
      <c r="A18" s="16" t="str">
        <f>'Dados Geral'!B19</f>
        <v>FACEPE</v>
      </c>
      <c r="B18" s="16">
        <f>'Dados Geral'!BB19</f>
        <v>0</v>
      </c>
      <c r="C18" s="16">
        <f>'Dados Geral'!BC19</f>
        <v>1</v>
      </c>
      <c r="D18" s="16">
        <f>'Dados Geral'!BD19</f>
        <v>1</v>
      </c>
      <c r="E18" s="16">
        <f>'Dados Geral'!BE19</f>
        <v>1</v>
      </c>
      <c r="F18" s="16">
        <f>'Dados Geral'!BF19</f>
        <v>0</v>
      </c>
      <c r="G18" s="16">
        <f>'Dados Geral'!BG19</f>
        <v>1</v>
      </c>
      <c r="H18" s="16">
        <f>'Dados Geral'!BH19</f>
        <v>0</v>
      </c>
      <c r="I18" s="16">
        <f>'Dados Geral'!BI19</f>
        <v>0</v>
      </c>
      <c r="J18" s="16">
        <f>'Dados Geral'!BJ19</f>
        <v>1</v>
      </c>
      <c r="K18" s="16">
        <f>'Dados Geral'!BK19</f>
        <v>0</v>
      </c>
      <c r="L18" s="16">
        <f>'Dados Geral'!BL19</f>
        <v>0</v>
      </c>
      <c r="M18" s="16">
        <f>'Dados Geral'!BM19</f>
        <v>1</v>
      </c>
      <c r="N18" s="16">
        <f>'Dados Geral'!BN19</f>
        <v>1</v>
      </c>
      <c r="O18" s="16">
        <f>'Dados Geral'!BO19</f>
        <v>0</v>
      </c>
      <c r="P18" s="16">
        <f>'Dados Geral'!BP19</f>
        <v>1</v>
      </c>
      <c r="Q18" s="16">
        <f>'Dados Geral'!BQ19</f>
        <v>0</v>
      </c>
      <c r="R18" s="16">
        <f>'Dados Geral'!BR19</f>
        <v>1</v>
      </c>
      <c r="S18" s="16">
        <f>'Dados Geral'!BS19</f>
        <v>0</v>
      </c>
      <c r="T18" s="16">
        <f>'Dados Geral'!BT19</f>
        <v>0</v>
      </c>
      <c r="U18" s="16">
        <f>'Dados Geral'!BU19</f>
        <v>1</v>
      </c>
      <c r="V18" s="16">
        <f>'Dados Geral'!BV19</f>
        <v>1</v>
      </c>
      <c r="W18" s="16">
        <f>'Dados Geral'!BW19</f>
        <v>0</v>
      </c>
      <c r="X18" s="16">
        <f>'Dados Geral'!BX19</f>
        <v>1</v>
      </c>
      <c r="Y18" s="16">
        <f>'Dados Geral'!BY19</f>
        <v>0</v>
      </c>
      <c r="Z18" s="16">
        <f>'Dados Geral'!BZ19</f>
        <v>0</v>
      </c>
      <c r="AA18" s="16">
        <f>'Dados Geral'!CA19</f>
        <v>0</v>
      </c>
      <c r="AB18" s="16">
        <f>'Dados Geral'!CB19</f>
        <v>0</v>
      </c>
      <c r="AC18" s="16">
        <f>'Dados Geral'!CC19</f>
        <v>1</v>
      </c>
      <c r="AD18" s="16">
        <f>'Dados Geral'!CD19</f>
        <v>1</v>
      </c>
      <c r="AE18" s="16">
        <f>'Dados Geral'!CE19</f>
        <v>0</v>
      </c>
      <c r="AF18" s="16">
        <f>'Dados Geral'!CF19</f>
        <v>0</v>
      </c>
    </row>
    <row r="19" spans="1:32">
      <c r="A19" s="16" t="str">
        <f>'Dados Geral'!B20</f>
        <v>FAPEPI</v>
      </c>
      <c r="B19" s="16">
        <f>'Dados Geral'!BB20</f>
        <v>1</v>
      </c>
      <c r="C19" s="16">
        <f>'Dados Geral'!BC20</f>
        <v>0</v>
      </c>
      <c r="D19" s="16">
        <f>'Dados Geral'!BD20</f>
        <v>1</v>
      </c>
      <c r="E19" s="16">
        <f>'Dados Geral'!BE20</f>
        <v>1</v>
      </c>
      <c r="F19" s="16">
        <f>'Dados Geral'!BF20</f>
        <v>0</v>
      </c>
      <c r="G19" s="16">
        <f>'Dados Geral'!BG20</f>
        <v>1</v>
      </c>
      <c r="H19" s="16">
        <f>'Dados Geral'!BH20</f>
        <v>0</v>
      </c>
      <c r="I19" s="16">
        <f>'Dados Geral'!BI20</f>
        <v>0</v>
      </c>
      <c r="J19" s="16">
        <f>'Dados Geral'!BJ20</f>
        <v>0</v>
      </c>
      <c r="K19" s="16">
        <f>'Dados Geral'!BK20</f>
        <v>0</v>
      </c>
      <c r="L19" s="16">
        <f>'Dados Geral'!BL20</f>
        <v>0</v>
      </c>
      <c r="M19" s="16">
        <f>'Dados Geral'!BM20</f>
        <v>1</v>
      </c>
      <c r="N19" s="16">
        <f>'Dados Geral'!BN20</f>
        <v>0</v>
      </c>
      <c r="O19" s="16">
        <f>'Dados Geral'!BO20</f>
        <v>1</v>
      </c>
      <c r="P19" s="16">
        <f>'Dados Geral'!BP20</f>
        <v>1</v>
      </c>
      <c r="Q19" s="16">
        <f>'Dados Geral'!BQ20</f>
        <v>0</v>
      </c>
      <c r="R19" s="16">
        <f>'Dados Geral'!BR20</f>
        <v>0</v>
      </c>
      <c r="S19" s="16">
        <f>'Dados Geral'!BS20</f>
        <v>0</v>
      </c>
      <c r="T19" s="16">
        <f>'Dados Geral'!BT20</f>
        <v>0</v>
      </c>
      <c r="U19" s="16">
        <f>'Dados Geral'!BU20</f>
        <v>1</v>
      </c>
      <c r="V19" s="16">
        <f>'Dados Geral'!BV20</f>
        <v>0</v>
      </c>
      <c r="W19" s="16">
        <f>'Dados Geral'!BW20</f>
        <v>1</v>
      </c>
      <c r="X19" s="16">
        <f>'Dados Geral'!BX20</f>
        <v>1</v>
      </c>
      <c r="Y19" s="16">
        <f>'Dados Geral'!BY20</f>
        <v>0</v>
      </c>
      <c r="Z19" s="16">
        <f>'Dados Geral'!BZ20</f>
        <v>0</v>
      </c>
      <c r="AA19" s="16">
        <f>'Dados Geral'!CA20</f>
        <v>0</v>
      </c>
      <c r="AB19" s="16">
        <f>'Dados Geral'!CB20</f>
        <v>0</v>
      </c>
      <c r="AC19" s="16">
        <f>'Dados Geral'!CC20</f>
        <v>1</v>
      </c>
      <c r="AD19" s="16">
        <f>'Dados Geral'!CD20</f>
        <v>0</v>
      </c>
      <c r="AE19" s="16">
        <f>'Dados Geral'!CE20</f>
        <v>1</v>
      </c>
      <c r="AF19" s="16">
        <f>'Dados Geral'!CF20</f>
        <v>1</v>
      </c>
    </row>
    <row r="20" spans="1:32">
      <c r="A20" s="16" t="str">
        <f>'Dados Geral'!B21</f>
        <v>FAPERJ</v>
      </c>
      <c r="B20" s="16">
        <f>'Dados Geral'!BB21</f>
        <v>0</v>
      </c>
      <c r="C20" s="16">
        <f>'Dados Geral'!BC21</f>
        <v>1</v>
      </c>
      <c r="D20" s="16">
        <f>'Dados Geral'!BD21</f>
        <v>0</v>
      </c>
      <c r="E20" s="16">
        <f>'Dados Geral'!BE21</f>
        <v>0</v>
      </c>
      <c r="F20" s="16">
        <f>'Dados Geral'!BF21</f>
        <v>0</v>
      </c>
      <c r="G20" s="16">
        <f>'Dados Geral'!BG21</f>
        <v>0</v>
      </c>
      <c r="H20" s="16">
        <f>'Dados Geral'!BH21</f>
        <v>1</v>
      </c>
      <c r="I20" s="16">
        <f>'Dados Geral'!BI21</f>
        <v>1</v>
      </c>
      <c r="J20" s="16">
        <f>'Dados Geral'!BJ21</f>
        <v>1</v>
      </c>
      <c r="K20" s="16">
        <f>'Dados Geral'!BK21</f>
        <v>0</v>
      </c>
      <c r="L20" s="16">
        <f>'Dados Geral'!BL21</f>
        <v>1</v>
      </c>
      <c r="M20" s="16">
        <f>'Dados Geral'!BM21</f>
        <v>0</v>
      </c>
      <c r="N20" s="16">
        <f>'Dados Geral'!BN21</f>
        <v>0</v>
      </c>
      <c r="O20" s="16">
        <f>'Dados Geral'!BO21</f>
        <v>0</v>
      </c>
      <c r="P20" s="16">
        <f>'Dados Geral'!BP21</f>
        <v>0</v>
      </c>
      <c r="Q20" s="16">
        <f>'Dados Geral'!BQ21</f>
        <v>1</v>
      </c>
      <c r="R20" s="16">
        <f>'Dados Geral'!BR21</f>
        <v>1</v>
      </c>
      <c r="S20" s="16">
        <f>'Dados Geral'!BS21</f>
        <v>0</v>
      </c>
      <c r="T20" s="16">
        <f>'Dados Geral'!BT21</f>
        <v>1</v>
      </c>
      <c r="U20" s="16">
        <f>'Dados Geral'!BU21</f>
        <v>1</v>
      </c>
      <c r="V20" s="16">
        <f>'Dados Geral'!BV21</f>
        <v>1</v>
      </c>
      <c r="W20" s="16">
        <f>'Dados Geral'!BW21</f>
        <v>0</v>
      </c>
      <c r="X20" s="16">
        <f>'Dados Geral'!BX21</f>
        <v>1</v>
      </c>
      <c r="Y20" s="16">
        <f>'Dados Geral'!BY21</f>
        <v>1</v>
      </c>
      <c r="Z20" s="16">
        <f>'Dados Geral'!BZ21</f>
        <v>0</v>
      </c>
      <c r="AA20" s="16">
        <f>'Dados Geral'!CA21</f>
        <v>1</v>
      </c>
      <c r="AB20" s="16">
        <f>'Dados Geral'!CB21</f>
        <v>1</v>
      </c>
      <c r="AC20" s="16">
        <f>'Dados Geral'!CC21</f>
        <v>0</v>
      </c>
      <c r="AD20" s="16">
        <f>'Dados Geral'!CD21</f>
        <v>1</v>
      </c>
      <c r="AE20" s="16">
        <f>'Dados Geral'!CE21</f>
        <v>1</v>
      </c>
      <c r="AF20" s="16">
        <f>'Dados Geral'!CF21</f>
        <v>0</v>
      </c>
    </row>
    <row r="21" spans="1:32">
      <c r="A21" s="16" t="str">
        <f>'Dados Geral'!B22</f>
        <v>FAPERN</v>
      </c>
      <c r="B21" s="16">
        <f>'Dados Geral'!BB22</f>
        <v>0</v>
      </c>
      <c r="C21" s="16">
        <f>'Dados Geral'!BC22</f>
        <v>0</v>
      </c>
      <c r="D21" s="16">
        <f>'Dados Geral'!BD22</f>
        <v>1</v>
      </c>
      <c r="E21" s="16">
        <f>'Dados Geral'!BE22</f>
        <v>1</v>
      </c>
      <c r="F21" s="16">
        <f>'Dados Geral'!BF22</f>
        <v>1</v>
      </c>
      <c r="G21" s="16">
        <f>'Dados Geral'!BG22</f>
        <v>1</v>
      </c>
      <c r="H21" s="16">
        <f>'Dados Geral'!BH22</f>
        <v>0</v>
      </c>
      <c r="I21" s="16">
        <f>'Dados Geral'!BI22</f>
        <v>0</v>
      </c>
      <c r="J21" s="16">
        <f>'Dados Geral'!BJ22</f>
        <v>0</v>
      </c>
      <c r="K21" s="16">
        <f>'Dados Geral'!BK22</f>
        <v>0</v>
      </c>
      <c r="L21" s="16">
        <f>'Dados Geral'!BL22</f>
        <v>0</v>
      </c>
      <c r="M21" s="16">
        <f>'Dados Geral'!BM22</f>
        <v>0</v>
      </c>
      <c r="N21" s="16">
        <f>'Dados Geral'!BN22</f>
        <v>0</v>
      </c>
      <c r="O21" s="16">
        <f>'Dados Geral'!BO22</f>
        <v>0</v>
      </c>
      <c r="P21" s="16">
        <f>'Dados Geral'!BP22</f>
        <v>1</v>
      </c>
      <c r="Q21" s="16">
        <f>'Dados Geral'!BQ22</f>
        <v>0</v>
      </c>
      <c r="R21" s="16">
        <f>'Dados Geral'!BR22</f>
        <v>0</v>
      </c>
      <c r="S21" s="16">
        <f>'Dados Geral'!BS22</f>
        <v>0</v>
      </c>
      <c r="T21" s="16">
        <f>'Dados Geral'!BT22</f>
        <v>0</v>
      </c>
      <c r="U21" s="16">
        <f>'Dados Geral'!BU22</f>
        <v>0</v>
      </c>
      <c r="V21" s="16">
        <f>'Dados Geral'!BV22</f>
        <v>0</v>
      </c>
      <c r="W21" s="16">
        <f>'Dados Geral'!BW22</f>
        <v>0</v>
      </c>
      <c r="X21" s="16">
        <f>'Dados Geral'!BX22</f>
        <v>1</v>
      </c>
      <c r="Y21" s="16">
        <f>'Dados Geral'!BY22</f>
        <v>0</v>
      </c>
      <c r="Z21" s="16">
        <f>'Dados Geral'!BZ22</f>
        <v>0</v>
      </c>
      <c r="AA21" s="16">
        <f>'Dados Geral'!CA22</f>
        <v>0</v>
      </c>
      <c r="AB21" s="16">
        <f>'Dados Geral'!CB22</f>
        <v>0</v>
      </c>
      <c r="AC21" s="16">
        <f>'Dados Geral'!CC22</f>
        <v>1</v>
      </c>
      <c r="AD21" s="16">
        <f>'Dados Geral'!CD22</f>
        <v>1</v>
      </c>
      <c r="AE21" s="16">
        <f>'Dados Geral'!CE22</f>
        <v>1</v>
      </c>
      <c r="AF21" s="16">
        <f>'Dados Geral'!CF22</f>
        <v>1</v>
      </c>
    </row>
    <row r="22" spans="1:32">
      <c r="A22" s="16" t="str">
        <f>'Dados Geral'!B23</f>
        <v>FAPERGS</v>
      </c>
      <c r="B22" s="16">
        <f>'Dados Geral'!BB23</f>
        <v>1</v>
      </c>
      <c r="C22" s="16">
        <f>'Dados Geral'!BC23</f>
        <v>1</v>
      </c>
      <c r="D22" s="16">
        <f>'Dados Geral'!BD23</f>
        <v>1</v>
      </c>
      <c r="E22" s="16">
        <f>'Dados Geral'!BE23</f>
        <v>1</v>
      </c>
      <c r="F22" s="16">
        <f>'Dados Geral'!BF23</f>
        <v>0</v>
      </c>
      <c r="G22" s="16">
        <f>'Dados Geral'!BG23</f>
        <v>1</v>
      </c>
      <c r="H22" s="16">
        <f>'Dados Geral'!BH23</f>
        <v>1</v>
      </c>
      <c r="I22" s="16">
        <f>'Dados Geral'!BI23</f>
        <v>0</v>
      </c>
      <c r="J22" s="16">
        <f>'Dados Geral'!BJ23</f>
        <v>0</v>
      </c>
      <c r="K22" s="16">
        <f>'Dados Geral'!BK23</f>
        <v>1</v>
      </c>
      <c r="L22" s="16">
        <f>'Dados Geral'!BL23</f>
        <v>0</v>
      </c>
      <c r="M22" s="16">
        <f>'Dados Geral'!BM23</f>
        <v>0</v>
      </c>
      <c r="N22" s="16">
        <f>'Dados Geral'!BN23</f>
        <v>1</v>
      </c>
      <c r="O22" s="16">
        <f>'Dados Geral'!BO23</f>
        <v>1</v>
      </c>
      <c r="P22" s="16">
        <f>'Dados Geral'!BP23</f>
        <v>0</v>
      </c>
      <c r="Q22" s="16">
        <f>'Dados Geral'!BQ23</f>
        <v>1</v>
      </c>
      <c r="R22" s="16">
        <f>'Dados Geral'!BR23</f>
        <v>0</v>
      </c>
      <c r="S22" s="16">
        <f>'Dados Geral'!BS23</f>
        <v>1</v>
      </c>
      <c r="T22" s="16">
        <f>'Dados Geral'!BT23</f>
        <v>0</v>
      </c>
      <c r="U22" s="16">
        <f>'Dados Geral'!BU23</f>
        <v>0</v>
      </c>
      <c r="V22" s="16">
        <f>'Dados Geral'!BV23</f>
        <v>1</v>
      </c>
      <c r="W22" s="16">
        <f>'Dados Geral'!BW23</f>
        <v>1</v>
      </c>
      <c r="X22" s="16">
        <f>'Dados Geral'!BX23</f>
        <v>0</v>
      </c>
      <c r="Y22" s="16">
        <f>'Dados Geral'!BY23</f>
        <v>1</v>
      </c>
      <c r="Z22" s="16">
        <f>'Dados Geral'!BZ23</f>
        <v>1</v>
      </c>
      <c r="AA22" s="16">
        <f>'Dados Geral'!CA23</f>
        <v>1</v>
      </c>
      <c r="AB22" s="16">
        <f>'Dados Geral'!CB23</f>
        <v>1</v>
      </c>
      <c r="AC22" s="16">
        <f>'Dados Geral'!CC23</f>
        <v>1</v>
      </c>
      <c r="AD22" s="16">
        <f>'Dados Geral'!CD23</f>
        <v>1</v>
      </c>
      <c r="AE22" s="16">
        <f>'Dados Geral'!CE23</f>
        <v>1</v>
      </c>
      <c r="AF22" s="16">
        <f>'Dados Geral'!CF23</f>
        <v>1</v>
      </c>
    </row>
    <row r="23" spans="1:32">
      <c r="A23" s="16" t="str">
        <f>'Dados Geral'!B24</f>
        <v>FAPERO</v>
      </c>
      <c r="B23" s="16">
        <f>'Dados Geral'!BB24</f>
        <v>1</v>
      </c>
      <c r="C23" s="16">
        <f>'Dados Geral'!BC24</f>
        <v>1</v>
      </c>
      <c r="D23" s="16">
        <f>'Dados Geral'!BD24</f>
        <v>0</v>
      </c>
      <c r="E23" s="16">
        <f>'Dados Geral'!BE24</f>
        <v>0</v>
      </c>
      <c r="F23" s="16">
        <f>'Dados Geral'!BF24</f>
        <v>1</v>
      </c>
      <c r="G23" s="16">
        <f>'Dados Geral'!BG24</f>
        <v>0</v>
      </c>
      <c r="H23" s="16">
        <f>'Dados Geral'!BH24</f>
        <v>0</v>
      </c>
      <c r="I23" s="16">
        <f>'Dados Geral'!BI24</f>
        <v>0</v>
      </c>
      <c r="J23" s="16">
        <f>'Dados Geral'!BJ24</f>
        <v>0</v>
      </c>
      <c r="K23" s="16">
        <f>'Dados Geral'!BK24</f>
        <v>0</v>
      </c>
      <c r="L23" s="16">
        <f>'Dados Geral'!BL24</f>
        <v>0</v>
      </c>
      <c r="M23" s="16">
        <f>'Dados Geral'!BM24</f>
        <v>1</v>
      </c>
      <c r="N23" s="16">
        <f>'Dados Geral'!BN24</f>
        <v>0</v>
      </c>
      <c r="O23" s="16">
        <f>'Dados Geral'!BO24</f>
        <v>1</v>
      </c>
      <c r="P23" s="16">
        <f>'Dados Geral'!BP24</f>
        <v>1</v>
      </c>
      <c r="Q23" s="16">
        <f>'Dados Geral'!BQ24</f>
        <v>0</v>
      </c>
      <c r="R23" s="16">
        <f>'Dados Geral'!BR24</f>
        <v>0</v>
      </c>
      <c r="S23" s="16">
        <f>'Dados Geral'!BS24</f>
        <v>0</v>
      </c>
      <c r="T23" s="16">
        <f>'Dados Geral'!BT24</f>
        <v>0</v>
      </c>
      <c r="U23" s="16">
        <f>'Dados Geral'!BU24</f>
        <v>1</v>
      </c>
      <c r="V23" s="16">
        <f>'Dados Geral'!BV24</f>
        <v>0</v>
      </c>
      <c r="W23" s="16">
        <f>'Dados Geral'!BW24</f>
        <v>1</v>
      </c>
      <c r="X23" s="16">
        <f>'Dados Geral'!BX24</f>
        <v>1</v>
      </c>
      <c r="Y23" s="16">
        <f>'Dados Geral'!BY24</f>
        <v>0</v>
      </c>
      <c r="Z23" s="16">
        <f>'Dados Geral'!BZ24</f>
        <v>0</v>
      </c>
      <c r="AA23" s="16">
        <f>'Dados Geral'!CA24</f>
        <v>0</v>
      </c>
      <c r="AB23" s="16">
        <f>'Dados Geral'!CB24</f>
        <v>1</v>
      </c>
      <c r="AC23" s="16">
        <f>'Dados Geral'!CC24</f>
        <v>0</v>
      </c>
      <c r="AD23" s="16">
        <f>'Dados Geral'!CD24</f>
        <v>0</v>
      </c>
      <c r="AE23" s="16">
        <f>'Dados Geral'!CE24</f>
        <v>0</v>
      </c>
      <c r="AF23" s="16">
        <f>'Dados Geral'!CF24</f>
        <v>1</v>
      </c>
    </row>
    <row r="24" spans="1:32">
      <c r="A24" s="16" t="str">
        <f>'Dados Geral'!B25</f>
        <v>FAPERR</v>
      </c>
      <c r="B24" s="16">
        <f>'Dados Geral'!BB25</f>
        <v>1</v>
      </c>
      <c r="C24" s="16">
        <f>'Dados Geral'!BC25</f>
        <v>0</v>
      </c>
      <c r="D24" s="16">
        <f>'Dados Geral'!BD25</f>
        <v>0</v>
      </c>
      <c r="E24" s="16">
        <f>'Dados Geral'!BE25</f>
        <v>0</v>
      </c>
      <c r="F24" s="16">
        <f>'Dados Geral'!BF25</f>
        <v>1</v>
      </c>
      <c r="G24" s="16">
        <f>'Dados Geral'!BG25</f>
        <v>0</v>
      </c>
      <c r="H24" s="16">
        <f>'Dados Geral'!BH25</f>
        <v>1</v>
      </c>
      <c r="I24" s="16">
        <f>'Dados Geral'!BI25</f>
        <v>1</v>
      </c>
      <c r="J24" s="16">
        <f>'Dados Geral'!BJ25</f>
        <v>1</v>
      </c>
      <c r="K24" s="16">
        <f>'Dados Geral'!BK25</f>
        <v>0</v>
      </c>
      <c r="L24" s="16">
        <f>'Dados Geral'!BL25</f>
        <v>1</v>
      </c>
      <c r="M24" s="16">
        <f>'Dados Geral'!BM25</f>
        <v>1</v>
      </c>
      <c r="N24" s="16">
        <f>'Dados Geral'!BN25</f>
        <v>0</v>
      </c>
      <c r="O24" s="16">
        <f>'Dados Geral'!BO25</f>
        <v>1</v>
      </c>
      <c r="P24" s="16">
        <f>'Dados Geral'!BP25</f>
        <v>1</v>
      </c>
      <c r="Q24" s="16">
        <f>'Dados Geral'!BQ25</f>
        <v>1</v>
      </c>
      <c r="R24" s="16">
        <f>'Dados Geral'!BR25</f>
        <v>1</v>
      </c>
      <c r="S24" s="16">
        <f>'Dados Geral'!BS25</f>
        <v>0</v>
      </c>
      <c r="T24" s="16">
        <f>'Dados Geral'!BT25</f>
        <v>1</v>
      </c>
      <c r="U24" s="16">
        <f>'Dados Geral'!BU25</f>
        <v>1</v>
      </c>
      <c r="V24" s="16">
        <f>'Dados Geral'!BV25</f>
        <v>0</v>
      </c>
      <c r="W24" s="16">
        <f>'Dados Geral'!BW25</f>
        <v>1</v>
      </c>
      <c r="X24" s="16">
        <f>'Dados Geral'!BX25</f>
        <v>1</v>
      </c>
      <c r="Y24" s="16">
        <f>'Dados Geral'!BY25</f>
        <v>1</v>
      </c>
      <c r="Z24" s="16">
        <f>'Dados Geral'!BZ25</f>
        <v>0</v>
      </c>
      <c r="AA24" s="16">
        <f>'Dados Geral'!CA25</f>
        <v>1</v>
      </c>
      <c r="AB24" s="16">
        <f>'Dados Geral'!CB25</f>
        <v>0</v>
      </c>
      <c r="AC24" s="16">
        <f>'Dados Geral'!CC25</f>
        <v>1</v>
      </c>
      <c r="AD24" s="16">
        <f>'Dados Geral'!CD25</f>
        <v>0</v>
      </c>
      <c r="AE24" s="16">
        <f>'Dados Geral'!CE25</f>
        <v>1</v>
      </c>
      <c r="AF24" s="16">
        <f>'Dados Geral'!CF25</f>
        <v>1</v>
      </c>
    </row>
    <row r="25" spans="1:32">
      <c r="A25" s="16" t="str">
        <f>'Dados Geral'!B26</f>
        <v>FAPESC</v>
      </c>
      <c r="B25" s="16">
        <f>'Dados Geral'!BB26</f>
        <v>0</v>
      </c>
      <c r="C25" s="16">
        <f>'Dados Geral'!BC26</f>
        <v>1</v>
      </c>
      <c r="D25" s="16">
        <f>'Dados Geral'!BD26</f>
        <v>1</v>
      </c>
      <c r="E25" s="16">
        <f>'Dados Geral'!BE26</f>
        <v>0</v>
      </c>
      <c r="F25" s="16">
        <f>'Dados Geral'!BF26</f>
        <v>1</v>
      </c>
      <c r="G25" s="16">
        <f>'Dados Geral'!BG26</f>
        <v>0</v>
      </c>
      <c r="H25" s="16">
        <f>'Dados Geral'!BH26</f>
        <v>1</v>
      </c>
      <c r="I25" s="16">
        <f>'Dados Geral'!BI26</f>
        <v>1</v>
      </c>
      <c r="J25" s="16">
        <f>'Dados Geral'!BJ26</f>
        <v>0</v>
      </c>
      <c r="K25" s="16">
        <f>'Dados Geral'!BK26</f>
        <v>0</v>
      </c>
      <c r="L25" s="16">
        <f>'Dados Geral'!BL26</f>
        <v>1</v>
      </c>
      <c r="M25" s="16">
        <f>'Dados Geral'!BM26</f>
        <v>1</v>
      </c>
      <c r="N25" s="16">
        <f>'Dados Geral'!BN26</f>
        <v>1</v>
      </c>
      <c r="O25" s="16">
        <f>'Dados Geral'!BO26</f>
        <v>0</v>
      </c>
      <c r="P25" s="16">
        <f>'Dados Geral'!BP26</f>
        <v>1</v>
      </c>
      <c r="Q25" s="16">
        <f>'Dados Geral'!BQ26</f>
        <v>1</v>
      </c>
      <c r="R25" s="16">
        <f>'Dados Geral'!BR26</f>
        <v>0</v>
      </c>
      <c r="S25" s="16">
        <f>'Dados Geral'!BS26</f>
        <v>0</v>
      </c>
      <c r="T25" s="16">
        <f>'Dados Geral'!BT26</f>
        <v>1</v>
      </c>
      <c r="U25" s="16">
        <f>'Dados Geral'!BU26</f>
        <v>1</v>
      </c>
      <c r="V25" s="16">
        <f>'Dados Geral'!BV26</f>
        <v>1</v>
      </c>
      <c r="W25" s="16">
        <f>'Dados Geral'!BW26</f>
        <v>0</v>
      </c>
      <c r="X25" s="16">
        <f>'Dados Geral'!BX26</f>
        <v>1</v>
      </c>
      <c r="Y25" s="16">
        <f>'Dados Geral'!BY26</f>
        <v>1</v>
      </c>
      <c r="Z25" s="16">
        <f>'Dados Geral'!BZ26</f>
        <v>0</v>
      </c>
      <c r="AA25" s="16">
        <f>'Dados Geral'!CA26</f>
        <v>1</v>
      </c>
      <c r="AB25" s="16">
        <f>'Dados Geral'!CB26</f>
        <v>0</v>
      </c>
      <c r="AC25" s="16">
        <f>'Dados Geral'!CC26</f>
        <v>1</v>
      </c>
      <c r="AD25" s="16">
        <f>'Dados Geral'!CD26</f>
        <v>1</v>
      </c>
      <c r="AE25" s="16">
        <f>'Dados Geral'!CE26</f>
        <v>0</v>
      </c>
      <c r="AF25" s="16">
        <f>'Dados Geral'!CF26</f>
        <v>1</v>
      </c>
    </row>
    <row r="26" spans="1:32">
      <c r="A26" s="16" t="str">
        <f>'Dados Geral'!B27</f>
        <v>FAPESP</v>
      </c>
      <c r="B26" s="16">
        <f>'Dados Geral'!BB27</f>
        <v>0</v>
      </c>
      <c r="C26" s="16">
        <f>'Dados Geral'!BC27</f>
        <v>1</v>
      </c>
      <c r="D26" s="16">
        <f>'Dados Geral'!BD27</f>
        <v>1</v>
      </c>
      <c r="E26" s="16">
        <f>'Dados Geral'!BE27</f>
        <v>1</v>
      </c>
      <c r="F26" s="16">
        <f>'Dados Geral'!BF27</f>
        <v>1</v>
      </c>
      <c r="G26" s="16">
        <f>'Dados Geral'!BG27</f>
        <v>1</v>
      </c>
      <c r="H26" s="16">
        <f>'Dados Geral'!BH27</f>
        <v>1</v>
      </c>
      <c r="I26" s="16">
        <f>'Dados Geral'!BI27</f>
        <v>1</v>
      </c>
      <c r="J26" s="16">
        <f>'Dados Geral'!BJ27</f>
        <v>1</v>
      </c>
      <c r="K26" s="16">
        <f>'Dados Geral'!BK27</f>
        <v>1</v>
      </c>
      <c r="L26" s="16">
        <f>'Dados Geral'!BL27</f>
        <v>1</v>
      </c>
      <c r="M26" s="16">
        <f>'Dados Geral'!BM27</f>
        <v>1</v>
      </c>
      <c r="N26" s="16">
        <f>'Dados Geral'!BN27</f>
        <v>0</v>
      </c>
      <c r="O26" s="16">
        <f>'Dados Geral'!BO27</f>
        <v>1</v>
      </c>
      <c r="P26" s="16">
        <f>'Dados Geral'!BP27</f>
        <v>0</v>
      </c>
      <c r="Q26" s="16">
        <f>'Dados Geral'!BQ27</f>
        <v>1</v>
      </c>
      <c r="R26" s="16">
        <f>'Dados Geral'!BR27</f>
        <v>1</v>
      </c>
      <c r="S26" s="16">
        <f>'Dados Geral'!BS27</f>
        <v>1</v>
      </c>
      <c r="T26" s="16">
        <f>'Dados Geral'!BT27</f>
        <v>1</v>
      </c>
      <c r="U26" s="16">
        <f>'Dados Geral'!BU27</f>
        <v>0</v>
      </c>
      <c r="V26" s="16">
        <f>'Dados Geral'!BV27</f>
        <v>1</v>
      </c>
      <c r="W26" s="16">
        <f>'Dados Geral'!BW27</f>
        <v>1</v>
      </c>
      <c r="X26" s="16">
        <f>'Dados Geral'!BX27</f>
        <v>0</v>
      </c>
      <c r="Y26" s="16">
        <f>'Dados Geral'!BY27</f>
        <v>1</v>
      </c>
      <c r="Z26" s="16">
        <f>'Dados Geral'!BZ27</f>
        <v>1</v>
      </c>
      <c r="AA26" s="16">
        <f>'Dados Geral'!CA27</f>
        <v>0</v>
      </c>
      <c r="AB26" s="16">
        <f>'Dados Geral'!CB27</f>
        <v>1</v>
      </c>
      <c r="AC26" s="16">
        <f>'Dados Geral'!CC27</f>
        <v>1</v>
      </c>
      <c r="AD26" s="16">
        <f>'Dados Geral'!CD27</f>
        <v>1</v>
      </c>
      <c r="AE26" s="16">
        <f>'Dados Geral'!CE27</f>
        <v>1</v>
      </c>
      <c r="AF26" s="16">
        <f>'Dados Geral'!CF27</f>
        <v>0</v>
      </c>
    </row>
    <row r="27" spans="1:32">
      <c r="A27" s="16" t="str">
        <f>'Dados Geral'!B28</f>
        <v>FAPITEC</v>
      </c>
      <c r="B27" s="16">
        <f>'Dados Geral'!BB28</f>
        <v>0</v>
      </c>
      <c r="C27" s="16">
        <f>'Dados Geral'!BC28</f>
        <v>0</v>
      </c>
      <c r="D27" s="16">
        <f>'Dados Geral'!BD28</f>
        <v>1</v>
      </c>
      <c r="E27" s="16">
        <f>'Dados Geral'!BE28</f>
        <v>0</v>
      </c>
      <c r="F27" s="16">
        <f>'Dados Geral'!BF28</f>
        <v>0</v>
      </c>
      <c r="G27" s="16">
        <f>'Dados Geral'!BG28</f>
        <v>1</v>
      </c>
      <c r="H27" s="16">
        <f>'Dados Geral'!BH28</f>
        <v>1</v>
      </c>
      <c r="I27" s="16">
        <f>'Dados Geral'!BI28</f>
        <v>0</v>
      </c>
      <c r="J27" s="16">
        <f>'Dados Geral'!BJ28</f>
        <v>0</v>
      </c>
      <c r="K27" s="16">
        <f>'Dados Geral'!BK28</f>
        <v>0</v>
      </c>
      <c r="L27" s="16">
        <f>'Dados Geral'!BL28</f>
        <v>0</v>
      </c>
      <c r="M27" s="16">
        <f>'Dados Geral'!BM28</f>
        <v>1</v>
      </c>
      <c r="N27" s="16">
        <f>'Dados Geral'!BN28</f>
        <v>1</v>
      </c>
      <c r="O27" s="16">
        <f>'Dados Geral'!BO28</f>
        <v>1</v>
      </c>
      <c r="P27" s="16">
        <f>'Dados Geral'!BP28</f>
        <v>1</v>
      </c>
      <c r="Q27" s="16">
        <f>'Dados Geral'!BQ28</f>
        <v>1</v>
      </c>
      <c r="R27" s="16">
        <f>'Dados Geral'!BR28</f>
        <v>0</v>
      </c>
      <c r="S27" s="16">
        <f>'Dados Geral'!BS28</f>
        <v>0</v>
      </c>
      <c r="T27" s="16">
        <f>'Dados Geral'!BT28</f>
        <v>0</v>
      </c>
      <c r="U27" s="16">
        <f>'Dados Geral'!BU28</f>
        <v>1</v>
      </c>
      <c r="V27" s="16">
        <f>'Dados Geral'!BV28</f>
        <v>1</v>
      </c>
      <c r="W27" s="16">
        <f>'Dados Geral'!BW28</f>
        <v>1</v>
      </c>
      <c r="X27" s="16">
        <f>'Dados Geral'!BX28</f>
        <v>1</v>
      </c>
      <c r="Y27" s="16">
        <f>'Dados Geral'!BY28</f>
        <v>1</v>
      </c>
      <c r="Z27" s="16">
        <f>'Dados Geral'!BZ28</f>
        <v>1</v>
      </c>
      <c r="AA27" s="16">
        <f>'Dados Geral'!CA28</f>
        <v>0</v>
      </c>
      <c r="AB27" s="16">
        <f>'Dados Geral'!CB28</f>
        <v>1</v>
      </c>
      <c r="AC27" s="16">
        <f>'Dados Geral'!CC28</f>
        <v>1</v>
      </c>
      <c r="AD27" s="16">
        <f>'Dados Geral'!CD28</f>
        <v>1</v>
      </c>
      <c r="AE27" s="16">
        <f>'Dados Geral'!CE28</f>
        <v>0</v>
      </c>
      <c r="AF27" s="16">
        <f>'Dados Geral'!CF28</f>
        <v>0</v>
      </c>
    </row>
    <row r="28" spans="1:32">
      <c r="A28" s="16" t="str">
        <f>'Dados Geral'!B29</f>
        <v>FAPT</v>
      </c>
      <c r="B28" s="16">
        <f>'Dados Geral'!BB29</f>
        <v>0</v>
      </c>
      <c r="C28" s="16">
        <f>'Dados Geral'!BC29</f>
        <v>0</v>
      </c>
      <c r="D28" s="16">
        <f>'Dados Geral'!BD29</f>
        <v>0</v>
      </c>
      <c r="E28" s="16">
        <f>'Dados Geral'!BE29</f>
        <v>0</v>
      </c>
      <c r="F28" s="16">
        <f>'Dados Geral'!BF29</f>
        <v>0</v>
      </c>
      <c r="G28" s="16">
        <f>'Dados Geral'!BG29</f>
        <v>0</v>
      </c>
      <c r="H28" s="16">
        <f>'Dados Geral'!BH29</f>
        <v>0</v>
      </c>
      <c r="I28" s="16">
        <f>'Dados Geral'!BI29</f>
        <v>1</v>
      </c>
      <c r="J28" s="16">
        <f>'Dados Geral'!BJ29</f>
        <v>1</v>
      </c>
      <c r="K28" s="16">
        <f>'Dados Geral'!BK29</f>
        <v>1</v>
      </c>
      <c r="L28" s="16">
        <f>'Dados Geral'!BL29</f>
        <v>0</v>
      </c>
      <c r="M28" s="16">
        <f>'Dados Geral'!BM29</f>
        <v>0</v>
      </c>
      <c r="N28" s="16">
        <f>'Dados Geral'!BN29</f>
        <v>0</v>
      </c>
      <c r="O28" s="16">
        <f>'Dados Geral'!BO29</f>
        <v>1</v>
      </c>
      <c r="P28" s="16">
        <f>'Dados Geral'!BP29</f>
        <v>1</v>
      </c>
      <c r="Q28" s="16">
        <f>'Dados Geral'!BQ29</f>
        <v>0</v>
      </c>
      <c r="R28" s="16">
        <f>'Dados Geral'!BR29</f>
        <v>1</v>
      </c>
      <c r="S28" s="16">
        <f>'Dados Geral'!BS29</f>
        <v>1</v>
      </c>
      <c r="T28" s="16">
        <f>'Dados Geral'!BT29</f>
        <v>0</v>
      </c>
      <c r="U28" s="16">
        <f>'Dados Geral'!BU29</f>
        <v>0</v>
      </c>
      <c r="V28" s="16">
        <f>'Dados Geral'!BV29</f>
        <v>0</v>
      </c>
      <c r="W28" s="16">
        <f>'Dados Geral'!BW29</f>
        <v>1</v>
      </c>
      <c r="X28" s="16">
        <f>'Dados Geral'!BX29</f>
        <v>1</v>
      </c>
      <c r="Y28" s="16">
        <f>'Dados Geral'!BY29</f>
        <v>0</v>
      </c>
      <c r="Z28" s="16">
        <f>'Dados Geral'!BZ29</f>
        <v>0</v>
      </c>
      <c r="AA28" s="16">
        <f>'Dados Geral'!CA29</f>
        <v>1</v>
      </c>
      <c r="AB28" s="16">
        <f>'Dados Geral'!CB29</f>
        <v>0</v>
      </c>
      <c r="AC28" s="16">
        <f>'Dados Geral'!CC29</f>
        <v>1</v>
      </c>
      <c r="AD28" s="16">
        <f>'Dados Geral'!CD29</f>
        <v>1</v>
      </c>
      <c r="AE28" s="16">
        <f>'Dados Geral'!CE29</f>
        <v>0</v>
      </c>
      <c r="AF28" s="16">
        <f>'Dados Geral'!CF29</f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Renato Rosa</cp:lastModifiedBy>
  <cp:revision/>
  <dcterms:created xsi:type="dcterms:W3CDTF">2015-06-05T18:19:34Z</dcterms:created>
  <dcterms:modified xsi:type="dcterms:W3CDTF">2026-03-16T21:30:08Z</dcterms:modified>
  <cp:category/>
  <cp:contentStatus/>
</cp:coreProperties>
</file>